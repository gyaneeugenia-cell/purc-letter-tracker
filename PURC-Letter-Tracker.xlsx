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7bcf746a50e93719/Documents/COMPLIANCE TRACKER/"/>
    </mc:Choice>
  </mc:AlternateContent>
  <xr:revisionPtr revIDLastSave="1" documentId="11_8AE83FE25F3A93570D2174DEC64E40632A28D39E" xr6:coauthVersionLast="47" xr6:coauthVersionMax="47" xr10:uidLastSave="{0011C6A1-2C30-4299-BCFC-E2124A9AC398}"/>
  <bookViews>
    <workbookView xWindow="-110" yWindow="-110" windowWidth="19420" windowHeight="10300" activeTab="1" xr2:uid="{00000000-000D-0000-FFFF-FFFF00000000}"/>
  </bookViews>
  <sheets>
    <sheet name="Dashboard" sheetId="1" r:id="rId1"/>
    <sheet name="Received Register" sheetId="2" r:id="rId2"/>
    <sheet name="Dispatched Register" sheetId="3" r:id="rId3"/>
    <sheet name="Analytics" sheetId="4" r:id="rId4"/>
    <sheet name="Reference" sheetId="5" state="hidden" r:id="rId5"/>
  </sheets>
  <definedNames>
    <definedName name="_xlnm._FilterDatabase" localSheetId="2" hidden="1">'Dispatched Register'!$A$4:$H$19</definedName>
    <definedName name="_xlnm._FilterDatabase" localSheetId="1" hidden="1">'Received Register'!$A$4:$I$19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4" l="1"/>
  <c r="B21" i="4"/>
  <c r="C17" i="4"/>
  <c r="B17" i="4"/>
  <c r="D17" i="4" s="1"/>
  <c r="E22" i="1" s="1"/>
  <c r="C16" i="4"/>
  <c r="D21" i="1" s="1"/>
  <c r="B16" i="4"/>
  <c r="D16" i="4" s="1"/>
  <c r="E21" i="1" s="1"/>
  <c r="C15" i="4"/>
  <c r="B15" i="4"/>
  <c r="C14" i="4"/>
  <c r="D19" i="1" s="1"/>
  <c r="B14" i="4"/>
  <c r="D14" i="4" s="1"/>
  <c r="E19" i="1" s="1"/>
  <c r="C13" i="4"/>
  <c r="B13" i="4"/>
  <c r="D13" i="4" s="1"/>
  <c r="E18" i="1" s="1"/>
  <c r="C12" i="4"/>
  <c r="B12" i="4"/>
  <c r="C17" i="1" s="1"/>
  <c r="C11" i="4"/>
  <c r="D16" i="1" s="1"/>
  <c r="B11" i="4"/>
  <c r="C7" i="4"/>
  <c r="B7" i="4"/>
  <c r="C6" i="4"/>
  <c r="B6" i="4"/>
  <c r="C5" i="4"/>
  <c r="B5" i="4"/>
  <c r="D22" i="1"/>
  <c r="C22" i="1"/>
  <c r="B22" i="1"/>
  <c r="B21" i="1"/>
  <c r="D20" i="1"/>
  <c r="B20" i="1"/>
  <c r="C19" i="1"/>
  <c r="B19" i="1"/>
  <c r="D18" i="1"/>
  <c r="B18" i="1"/>
  <c r="D17" i="1"/>
  <c r="B17" i="1"/>
  <c r="B16" i="1"/>
  <c r="F11" i="1"/>
  <c r="D11" i="1"/>
  <c r="B11" i="1"/>
  <c r="F7" i="1"/>
  <c r="D7" i="1"/>
  <c r="B7" i="1"/>
  <c r="D12" i="4" l="1"/>
  <c r="E17" i="1" s="1"/>
  <c r="C21" i="1"/>
  <c r="C18" i="1"/>
  <c r="D11" i="4"/>
  <c r="E16" i="1" s="1"/>
  <c r="D15" i="4"/>
  <c r="E20" i="1" s="1"/>
  <c r="C20" i="1"/>
  <c r="C16" i="1"/>
</calcChain>
</file>

<file path=xl/sharedStrings.xml><?xml version="1.0" encoding="utf-8"?>
<sst xmlns="http://schemas.openxmlformats.org/spreadsheetml/2006/main" count="254" uniqueCount="126">
  <si>
    <t xml:space="preserve">  PURC Letter &amp; Document Tracking System</t>
  </si>
  <si>
    <t xml:space="preserve">  Executive Dashboard  ·  Energy Sector Correspondence Register</t>
  </si>
  <si>
    <t xml:space="preserve">  TOTAL LETTERS</t>
  </si>
  <si>
    <t xml:space="preserve">  TOTAL RECEIVED</t>
  </si>
  <si>
    <t xml:space="preserve">  TOTAL DISPATCHED</t>
  </si>
  <si>
    <t xml:space="preserve">  URGENT LETTERS</t>
  </si>
  <si>
    <t xml:space="preserve">  NORMAL LETTERS</t>
  </si>
  <si>
    <t xml:space="preserve">  DIRECTORATES</t>
  </si>
  <si>
    <t>Directorate Workload</t>
  </si>
  <si>
    <t>Directorate</t>
  </si>
  <si>
    <t>Received</t>
  </si>
  <si>
    <t>Dispatched</t>
  </si>
  <si>
    <t>Total</t>
  </si>
  <si>
    <t xml:space="preserve">  Figures update automatically from the Received &amp; Dispatched registers. Green cells are links to other sheets.</t>
  </si>
  <si>
    <t xml:space="preserve">  Received Letter Register</t>
  </si>
  <si>
    <t xml:space="preserve">  Public Utilities Regulatory Commission  ·  Executive Secretariat, Energy Sector</t>
  </si>
  <si>
    <t>Registry No</t>
  </si>
  <si>
    <t>Letter Date</t>
  </si>
  <si>
    <t>Reference No</t>
  </si>
  <si>
    <t>Sender Institution</t>
  </si>
  <si>
    <t>Received By</t>
  </si>
  <si>
    <t>Subject</t>
  </si>
  <si>
    <t>Priority</t>
  </si>
  <si>
    <t>Remarks</t>
  </si>
  <si>
    <t>Electricity Company of Ghana</t>
  </si>
  <si>
    <t>Cecil Oduro Nyarko</t>
  </si>
  <si>
    <t>Request for Data on Electricity Cost</t>
  </si>
  <si>
    <t>Energy Services and Performance Monitoring</t>
  </si>
  <si>
    <t>Normal</t>
  </si>
  <si>
    <t>Received at ES through Natasha, Front Desk. Not yet dispatched.</t>
  </si>
  <si>
    <t>Northern Electricity Distribution Company</t>
  </si>
  <si>
    <t>Executive Secretary</t>
  </si>
  <si>
    <t>Request for clarification on 2026 tariff adjustment</t>
  </si>
  <si>
    <t>Regulatory Economics</t>
  </si>
  <si>
    <t>Urgent</t>
  </si>
  <si>
    <t>Dispatched from ES to Regulatory Economics for tariff review.</t>
  </si>
  <si>
    <t>Ghana Water Company Limited</t>
  </si>
  <si>
    <t>Submission of water quality monitoring returns</t>
  </si>
  <si>
    <t>Water Services and Performance Monitoring</t>
  </si>
  <si>
    <t>Dispatched from ES to Water Services and Performance Monitoring. Received by department on April 12, 2026.</t>
  </si>
  <si>
    <t>Northern Region Consumer Group</t>
  </si>
  <si>
    <t>Consumer petition on estimated billing in Tamale</t>
  </si>
  <si>
    <t>Regional Operations</t>
  </si>
  <si>
    <t>Urgent petition dispatched from ES to Regional Operations for regional follow-up.</t>
  </si>
  <si>
    <t>Association of Independent Power Producers</t>
  </si>
  <si>
    <t>Request for legal opinion on licence condition</t>
  </si>
  <si>
    <t>Legal Services</t>
  </si>
  <si>
    <t>Received at ES office and awaiting dispatch to Legal Services.</t>
  </si>
  <si>
    <t>BlueGate Conference Services</t>
  </si>
  <si>
    <t>Invoice submission for stakeholder workshop logistics</t>
  </si>
  <si>
    <t>Finance and Administration</t>
  </si>
  <si>
    <t>Dispatched from ES to Finance and Administration for payment verification.</t>
  </si>
  <si>
    <t>Ghana Grid Company Limited</t>
  </si>
  <si>
    <t>Quarterly electricity reliability performance report</t>
  </si>
  <si>
    <t>Dispatched from ES to ESPM. Received by department for technical review.</t>
  </si>
  <si>
    <t>Community Water and Sanitation Agency</t>
  </si>
  <si>
    <t>Water service interruption report for Nsawam</t>
  </si>
  <si>
    <t>Dispatched from ES to Water Services and Performance Monitoring for service quality review.</t>
  </si>
  <si>
    <t>Ghana National Gas Company</t>
  </si>
  <si>
    <t>Natural gas cost data for tariff computation</t>
  </si>
  <si>
    <t>Dispatched from ES to Regulatory Economics. Received by department for tariff model update.</t>
  </si>
  <si>
    <t>Urgent notice on transformer overload at Pokuase</t>
  </si>
  <si>
    <t>Urgent technical letter dispatched from ES to ESPM for immediate monitoring action.</t>
  </si>
  <si>
    <t>PURC Ashanti Regional Office</t>
  </si>
  <si>
    <t>Regional office request for complaint mediation support</t>
  </si>
  <si>
    <t>Received at ES office. Not yet dispatched to Regional Operations.</t>
  </si>
  <si>
    <t>Public Affairs Unit</t>
  </si>
  <si>
    <t>Budget request for public education campaign</t>
  </si>
  <si>
    <t>Dispatched from ES to Finance and Administration for budget advice.</t>
  </si>
  <si>
    <t>Ministry of Energy</t>
  </si>
  <si>
    <t>Draft memorandum of understanding for utility data sharing</t>
  </si>
  <si>
    <t>Dispatched from ES to Legal Services for review of draft MOU clauses.</t>
  </si>
  <si>
    <t>Cape Coast Residents Association</t>
  </si>
  <si>
    <t>Urgent complaint on low water pressure in Cape Coast</t>
  </si>
  <si>
    <t>Urgent complaint dispatched from ES to WSPM. Received by department for investigation.</t>
  </si>
  <si>
    <t>Monthly power outage schedule notification</t>
  </si>
  <si>
    <t>Dispatched from ES to ESPM for monitoring and record update.</t>
  </si>
  <si>
    <t xml:space="preserve">  Dispatched Letter Register</t>
  </si>
  <si>
    <t>Dispatch Date</t>
  </si>
  <si>
    <t>Recipient Institution</t>
  </si>
  <si>
    <t>Responsible Directorate</t>
  </si>
  <si>
    <t>Acknowledgement of electricity cost data request</t>
  </si>
  <si>
    <t>Dispatched from PURC to Electricity Company of Ghana and logged by ES.</t>
  </si>
  <si>
    <t>Draft response on tariff adjustment clarification</t>
  </si>
  <si>
    <t>Ready for ES signature before external dispatch to NEDCo.</t>
  </si>
  <si>
    <t>Request for corrected water quality dataset</t>
  </si>
  <si>
    <t>Dispatched from PURC to Ghana Water Company Limited for corrected returns.</t>
  </si>
  <si>
    <t>PURC Northern Regional Office</t>
  </si>
  <si>
    <t>Directive on estimated billing complaint investigation</t>
  </si>
  <si>
    <t>Urgent outgoing letter dispatched from PURC to the Northern Regional Office.</t>
  </si>
  <si>
    <t>Legal review request for licence condition</t>
  </si>
  <si>
    <t>Ready for ES signature before dispatch to the Association of Independent Power Producers.</t>
  </si>
  <si>
    <t>Payment processing acknowledgement</t>
  </si>
  <si>
    <t>Dispatched from PURC to vendor after Finance and Administration verification.</t>
  </si>
  <si>
    <t>Request for grid reliability supporting data</t>
  </si>
  <si>
    <t>Dispatched from PURC to Ghana Grid Company Limited for reliability data confirmation.</t>
  </si>
  <si>
    <t>Draft response on Nsawam water service interruption</t>
  </si>
  <si>
    <t>Ready for ES signature before dispatch to Community Water and Sanitation Agency.</t>
  </si>
  <si>
    <t>Acknowledgement of natural gas tariff data</t>
  </si>
  <si>
    <t>Dispatched from PURC to Ghana National Gas Company after Regulatory Economics review.</t>
  </si>
  <si>
    <t>Emergency monitoring request on Pokuase transformer overload</t>
  </si>
  <si>
    <t>Urgent outgoing letter dispatched from PURC to ECG for immediate technical update.</t>
  </si>
  <si>
    <t>Mediation support letter for Ashanti regional complaint</t>
  </si>
  <si>
    <t>Ready for ES signature before dispatch to PURC Ashanti Regional Office.</t>
  </si>
  <si>
    <t>Budget concurrence for public education campaign</t>
  </si>
  <si>
    <t>Dispatched from PURC to Public Affairs Unit after Finance and Administration advice.</t>
  </si>
  <si>
    <t>Legal comments on utility data sharing MOU</t>
  </si>
  <si>
    <t>Dispatched from PURC to Ministry of Energy after Legal Services review.</t>
  </si>
  <si>
    <t>Directive on Cape Coast low water pressure complaint</t>
  </si>
  <si>
    <t>Urgent outgoing letter dispatched from PURC to Ghana Water Company Limited.</t>
  </si>
  <si>
    <t>Acknowledgement of NEDCo power outage schedule</t>
  </si>
  <si>
    <t>Ready for ES signature before dispatch to NEDCo.</t>
  </si>
  <si>
    <t xml:space="preserve">  Analytics</t>
  </si>
  <si>
    <t>Letters by Month</t>
  </si>
  <si>
    <t>Month</t>
  </si>
  <si>
    <t>Apr 2026</t>
  </si>
  <si>
    <t>May 2026</t>
  </si>
  <si>
    <t>Jun 2026</t>
  </si>
  <si>
    <t>Priority Split</t>
  </si>
  <si>
    <t>Count</t>
  </si>
  <si>
    <t>Directorates</t>
  </si>
  <si>
    <t>Priorities</t>
  </si>
  <si>
    <t>Statuses</t>
  </si>
  <si>
    <t>Institutions</t>
  </si>
  <si>
    <t xml:space="preserve">  Public Utilities Regulatory Commission  -   Executive Secretariat</t>
  </si>
  <si>
    <t>Receipient Directorate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</si>
</sst>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m\-yyyy"/>
  </numFmts>
  <fonts count="2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1F2937"/>
      <name val="Calibri"/>
      <family val="2"/>
    </font>
    <font>
      <b/>
      <sz val="16"/>
      <color rgb="FFFFFFFF"/>
      <name val="Calibri"/>
      <family val="2"/>
    </font>
    <font>
      <i/>
      <sz val="10"/>
      <color rgb="FF5C6675"/>
      <name val="Calibri"/>
      <family val="2"/>
    </font>
    <font>
      <b/>
      <sz val="10"/>
      <color rgb="FFFFFFFF"/>
      <name val="Calibri"/>
      <family val="2"/>
    </font>
    <font>
      <sz val="10"/>
      <color rgb="FF1F2937"/>
      <name val="Calibri"/>
      <family val="2"/>
    </font>
    <font>
      <b/>
      <sz val="10"/>
      <color rgb="FF465BA8"/>
      <name val="Calibri"/>
      <family val="2"/>
    </font>
    <font>
      <b/>
      <sz val="10"/>
      <color rgb="FFE31E2F"/>
      <name val="Calibri"/>
      <family val="2"/>
    </font>
    <font>
      <b/>
      <sz val="12"/>
      <color rgb="FF1F2937"/>
      <name val="Calibri"/>
      <family val="2"/>
    </font>
    <font>
      <b/>
      <sz val="11"/>
      <color rgb="FFE31E2F"/>
      <name val="Calibri"/>
      <family val="2"/>
    </font>
    <font>
      <b/>
      <sz val="20"/>
      <color rgb="FFFFFFFF"/>
      <name val="Calibri"/>
      <family val="2"/>
    </font>
    <font>
      <i/>
      <sz val="11"/>
      <color rgb="FF5C6675"/>
      <name val="Calibri"/>
      <family val="2"/>
    </font>
    <font>
      <b/>
      <sz val="10"/>
      <color rgb="FF5C6675"/>
      <name val="Calibri"/>
      <family val="2"/>
    </font>
    <font>
      <b/>
      <sz val="30"/>
      <color rgb="FF465BA8"/>
      <name val="Calibri"/>
      <family val="2"/>
    </font>
    <font>
      <b/>
      <sz val="30"/>
      <color rgb="FF1F9D6B"/>
      <name val="Calibri"/>
      <family val="2"/>
    </font>
    <font>
      <b/>
      <sz val="30"/>
      <color rgb="FF138E9A"/>
      <name val="Calibri"/>
      <family val="2"/>
    </font>
    <font>
      <b/>
      <sz val="30"/>
      <color rgb="FFE31E2F"/>
      <name val="Calibri"/>
      <family val="2"/>
    </font>
    <font>
      <b/>
      <sz val="30"/>
      <color rgb="FFB8791A"/>
      <name val="Calibri"/>
      <family val="2"/>
    </font>
    <font>
      <b/>
      <sz val="30"/>
      <color rgb="FF34467F"/>
      <name val="Calibri"/>
      <family val="2"/>
    </font>
    <font>
      <sz val="10"/>
      <color rgb="FF1F9D6B"/>
      <name val="Calibri"/>
      <family val="2"/>
    </font>
    <font>
      <i/>
      <sz val="9"/>
      <color rgb="FF5C6675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465BA8"/>
      </patternFill>
    </fill>
    <fill>
      <patternFill patternType="solid">
        <fgColor rgb="FF34467F"/>
      </patternFill>
    </fill>
    <fill>
      <patternFill patternType="solid">
        <fgColor rgb="FFFFFFFF"/>
      </patternFill>
    </fill>
    <fill>
      <patternFill patternType="solid">
        <fgColor rgb="FFF5F7FB"/>
      </patternFill>
    </fill>
    <fill>
      <patternFill patternType="solid">
        <fgColor rgb="FFE9ECF7"/>
      </patternFill>
    </fill>
    <fill>
      <patternFill patternType="solid">
        <fgColor rgb="FF1F9D6B"/>
      </patternFill>
    </fill>
    <fill>
      <patternFill patternType="solid">
        <fgColor rgb="FFE4F4EC"/>
      </patternFill>
    </fill>
    <fill>
      <patternFill patternType="solid">
        <fgColor rgb="FF138E9A"/>
      </patternFill>
    </fill>
    <fill>
      <patternFill patternType="solid">
        <fgColor rgb="FFE1F1F2"/>
      </patternFill>
    </fill>
    <fill>
      <patternFill patternType="solid">
        <fgColor rgb="FFE31E2F"/>
      </patternFill>
    </fill>
    <fill>
      <patternFill patternType="solid">
        <fgColor rgb="FFFBE4E6"/>
      </patternFill>
    </fill>
    <fill>
      <patternFill patternType="solid">
        <fgColor rgb="FFB8791A"/>
      </patternFill>
    </fill>
    <fill>
      <patternFill patternType="solid">
        <fgColor rgb="FFFBEFD8"/>
      </patternFill>
    </fill>
  </fills>
  <borders count="8">
    <border>
      <left/>
      <right/>
      <top/>
      <bottom/>
      <diagonal/>
    </border>
    <border>
      <left style="thin">
        <color rgb="FFD8DEEA"/>
      </left>
      <right style="thin">
        <color rgb="FFD8DEEA"/>
      </right>
      <top style="thin">
        <color rgb="FFD8DEEA"/>
      </top>
      <bottom style="thin">
        <color rgb="FFD8DEEA"/>
      </bottom>
      <diagonal/>
    </border>
    <border>
      <left style="thin">
        <color rgb="FFE9ECF7"/>
      </left>
      <right style="thin">
        <color rgb="FFE9ECF7"/>
      </right>
      <top style="thin">
        <color rgb="FFE9ECF7"/>
      </top>
      <bottom style="thin">
        <color rgb="FFE9ECF7"/>
      </bottom>
      <diagonal/>
    </border>
    <border>
      <left style="thin">
        <color rgb="FFE4F4EC"/>
      </left>
      <right style="thin">
        <color rgb="FFE4F4EC"/>
      </right>
      <top style="thin">
        <color rgb="FFE4F4EC"/>
      </top>
      <bottom style="thin">
        <color rgb="FFE4F4EC"/>
      </bottom>
      <diagonal/>
    </border>
    <border>
      <left style="thin">
        <color rgb="FFE1F1F2"/>
      </left>
      <right style="thin">
        <color rgb="FFE1F1F2"/>
      </right>
      <top style="thin">
        <color rgb="FFE1F1F2"/>
      </top>
      <bottom style="thin">
        <color rgb="FFE1F1F2"/>
      </bottom>
      <diagonal/>
    </border>
    <border>
      <left style="thin">
        <color rgb="FFFBE4E6"/>
      </left>
      <right style="thin">
        <color rgb="FFFBE4E6"/>
      </right>
      <top style="thin">
        <color rgb="FFFBE4E6"/>
      </top>
      <bottom style="thin">
        <color rgb="FFFBE4E6"/>
      </bottom>
      <diagonal/>
    </border>
    <border>
      <left style="thin">
        <color rgb="FFFBEFD8"/>
      </left>
      <right style="thin">
        <color rgb="FFFBEFD8"/>
      </right>
      <top style="thin">
        <color rgb="FFFBEFD8"/>
      </top>
      <bottom style="thin">
        <color rgb="FFFBEFD8"/>
      </bottom>
      <diagonal/>
    </border>
    <border>
      <left style="thin">
        <color rgb="FFD8DEEA"/>
      </left>
      <right style="thin">
        <color rgb="FFD8DEEA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9" fillId="0" borderId="0" xfId="0" applyFont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/>
    </xf>
    <xf numFmtId="0" fontId="0" fillId="0" borderId="2" xfId="0" applyBorder="1"/>
    <xf numFmtId="0" fontId="13" fillId="14" borderId="6" xfId="0" applyFont="1" applyFill="1" applyBorder="1" applyAlignment="1">
      <alignment horizontal="left" vertical="center"/>
    </xf>
    <xf numFmtId="0" fontId="0" fillId="0" borderId="6" xfId="0" applyBorder="1"/>
    <xf numFmtId="0" fontId="14" fillId="6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/>
    <xf numFmtId="0" fontId="13" fillId="10" borderId="4" xfId="0" applyFont="1" applyFill="1" applyBorder="1" applyAlignment="1">
      <alignment horizontal="left" vertical="center"/>
    </xf>
    <xf numFmtId="0" fontId="0" fillId="0" borderId="4" xfId="0" applyBorder="1"/>
    <xf numFmtId="0" fontId="16" fillId="10" borderId="4" xfId="0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left" vertical="center"/>
    </xf>
    <xf numFmtId="0" fontId="0" fillId="0" borderId="3" xfId="0" applyBorder="1"/>
    <xf numFmtId="0" fontId="11" fillId="2" borderId="0" xfId="0" applyFont="1" applyFill="1" applyAlignment="1">
      <alignment horizontal="left" vertical="center"/>
    </xf>
    <xf numFmtId="0" fontId="17" fillId="12" borderId="5" xfId="0" applyFont="1" applyFill="1" applyBorder="1" applyAlignment="1">
      <alignment horizontal="center" vertical="center"/>
    </xf>
    <xf numFmtId="0" fontId="0" fillId="0" borderId="5" xfId="0" applyBorder="1"/>
    <xf numFmtId="0" fontId="18" fillId="14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left" vertical="center"/>
    </xf>
    <xf numFmtId="0" fontId="15" fillId="8" borderId="3" xfId="0" applyFont="1" applyFill="1" applyBorder="1" applyAlignment="1">
      <alignment horizontal="center" vertical="center"/>
    </xf>
    <xf numFmtId="0" fontId="13" fillId="12" borderId="5" xfId="0" applyFont="1" applyFill="1" applyBorder="1" applyAlignment="1">
      <alignment horizontal="left" vertical="center"/>
    </xf>
    <xf numFmtId="0" fontId="2" fillId="11" borderId="5" xfId="0" applyFont="1" applyFill="1" applyBorder="1" applyAlignment="1">
      <alignment horizontal="left" vertical="center"/>
    </xf>
    <xf numFmtId="0" fontId="2" fillId="13" borderId="6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7" fillId="5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Priority Split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Analytics!$B$20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Analytics!$A$21:$A$22</c:f>
              <c:strCache>
                <c:ptCount val="2"/>
                <c:pt idx="0">
                  <c:v>Normal</c:v>
                </c:pt>
                <c:pt idx="1">
                  <c:v>Urgent</c:v>
                </c:pt>
              </c:strCache>
            </c:strRef>
          </c:cat>
          <c:val>
            <c:numRef>
              <c:f>Analytics!$B$21:$B$22</c:f>
              <c:numCache>
                <c:formatCode>General</c:formatCode>
                <c:ptCount val="2"/>
                <c:pt idx="0">
                  <c:v>17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6-4F38-997B-9D7B388BE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ysClr val="windowText" lastClr="000000"/>
                </a:solidFill>
                <a:latin typeface="Century Schoolbook" panose="02040604050505020304" pitchFamily="18" charset="0"/>
                <a:ea typeface="+mn-ea"/>
                <a:cs typeface="+mn-cs"/>
              </a:defRPr>
            </a:pPr>
            <a:r>
              <a:rPr lang="en-US"/>
              <a:t>Letters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Analytics!$B$4</c:f>
              <c:strCache>
                <c:ptCount val="1"/>
                <c:pt idx="0">
                  <c:v>Received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Analytics!$A$5:$A$7</c:f>
              <c:strCache>
                <c:ptCount val="3"/>
                <c:pt idx="0">
                  <c:v>Apr 2026</c:v>
                </c:pt>
                <c:pt idx="1">
                  <c:v>May 2026</c:v>
                </c:pt>
                <c:pt idx="2">
                  <c:v>Jun 2026</c:v>
                </c:pt>
              </c:strCache>
            </c:strRef>
          </c:cat>
          <c:val>
            <c:numRef>
              <c:f>Analytics!$B$5:$B$7</c:f>
              <c:numCache>
                <c:formatCode>General</c:formatCode>
                <c:ptCount val="3"/>
                <c:pt idx="0">
                  <c:v>6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02-4CF0-815D-E7F2BD833FC2}"/>
            </c:ext>
          </c:extLst>
        </c:ser>
        <c:ser>
          <c:idx val="1"/>
          <c:order val="1"/>
          <c:tx>
            <c:strRef>
              <c:f>Analytics!$C$4</c:f>
              <c:strCache>
                <c:ptCount val="1"/>
                <c:pt idx="0">
                  <c:v>Dispatched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Analytics!$A$5:$A$7</c:f>
              <c:strCache>
                <c:ptCount val="3"/>
                <c:pt idx="0">
                  <c:v>Apr 2026</c:v>
                </c:pt>
                <c:pt idx="1">
                  <c:v>May 2026</c:v>
                </c:pt>
                <c:pt idx="2">
                  <c:v>Jun 2026</c:v>
                </c:pt>
              </c:strCache>
            </c:strRef>
          </c:cat>
          <c:val>
            <c:numRef>
              <c:f>Analytics!$C$5:$C$7</c:f>
              <c:numCache>
                <c:formatCode>General</c:formatCode>
                <c:ptCount val="3"/>
                <c:pt idx="0">
                  <c:v>6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02-4CF0-815D-E7F2BD833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132240"/>
        <c:axId val="120134736"/>
      </c:barChart>
      <c:catAx>
        <c:axId val="12013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entury Schoolbook" panose="02040604050505020304" pitchFamily="18" charset="0"/>
                <a:ea typeface="+mn-ea"/>
                <a:cs typeface="+mn-cs"/>
              </a:defRPr>
            </a:pPr>
            <a:endParaRPr lang="en-US"/>
          </a:p>
        </c:txPr>
        <c:crossAx val="120134736"/>
        <c:crosses val="autoZero"/>
        <c:auto val="1"/>
        <c:lblAlgn val="ctr"/>
        <c:lblOffset val="100"/>
        <c:noMultiLvlLbl val="0"/>
      </c:catAx>
      <c:valAx>
        <c:axId val="12013473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entury Schoolbook" panose="02040604050505020304" pitchFamily="18" charset="0"/>
                <a:ea typeface="+mn-ea"/>
                <a:cs typeface="+mn-cs"/>
              </a:defRPr>
            </a:pPr>
            <a:endParaRPr lang="en-US"/>
          </a:p>
        </c:txPr>
        <c:crossAx val="12013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ysClr val="windowText" lastClr="000000"/>
          </a:solidFill>
          <a:latin typeface="Century Schoolbook" panose="020406040505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ysClr val="windowText" lastClr="000000"/>
                </a:solidFill>
                <a:latin typeface="Century Schoolbook" panose="02040604050505020304" pitchFamily="18" charset="0"/>
                <a:ea typeface="+mn-ea"/>
                <a:cs typeface="+mn-cs"/>
              </a:defRPr>
            </a:pPr>
            <a:r>
              <a:rPr lang="en-US"/>
              <a:t>Directorate Workload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Analytics!$D$10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Century Schoolbook" panose="02040604050505020304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Analytics!$A$11:$A$17</c:f>
              <c:strCache>
                <c:ptCount val="7"/>
                <c:pt idx="0">
                  <c:v>Executive Secretary</c:v>
                </c:pt>
                <c:pt idx="1">
                  <c:v>Regulatory Economics</c:v>
                </c:pt>
                <c:pt idx="2">
                  <c:v>Energy Services and Performance Monitoring</c:v>
                </c:pt>
                <c:pt idx="3">
                  <c:v>Water Services and Performance Monitoring</c:v>
                </c:pt>
                <c:pt idx="4">
                  <c:v>Regional Operations</c:v>
                </c:pt>
                <c:pt idx="5">
                  <c:v>Legal Services</c:v>
                </c:pt>
                <c:pt idx="6">
                  <c:v>Finance and Administration</c:v>
                </c:pt>
              </c:strCache>
            </c:strRef>
          </c:cat>
          <c:val>
            <c:numRef>
              <c:f>Analytics!$D$11:$D$17</c:f>
              <c:numCache>
                <c:formatCode>General</c:formatCode>
                <c:ptCount val="7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85-4520-BB42-C14D03ACA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54783776"/>
        <c:axId val="254781696"/>
      </c:barChart>
      <c:catAx>
        <c:axId val="254783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Century Schoolbook" panose="02040604050505020304" pitchFamily="18" charset="0"/>
                <a:ea typeface="+mn-ea"/>
                <a:cs typeface="+mn-cs"/>
              </a:defRPr>
            </a:pPr>
            <a:endParaRPr lang="en-US"/>
          </a:p>
        </c:txPr>
        <c:crossAx val="254781696"/>
        <c:crosses val="autoZero"/>
        <c:auto val="1"/>
        <c:lblAlgn val="ctr"/>
        <c:lblOffset val="100"/>
        <c:noMultiLvlLbl val="0"/>
      </c:catAx>
      <c:valAx>
        <c:axId val="25478169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5478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ysClr val="windowText" lastClr="000000"/>
          </a:solidFill>
          <a:latin typeface="Century Schoolbook" panose="020406040505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35</xdr:row>
      <xdr:rowOff>0</xdr:rowOff>
    </xdr:from>
    <xdr:ext cx="324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8</xdr:col>
      <xdr:colOff>460375</xdr:colOff>
      <xdr:row>0</xdr:row>
      <xdr:rowOff>73025</xdr:rowOff>
    </xdr:from>
    <xdr:to>
      <xdr:col>16</xdr:col>
      <xdr:colOff>155575</xdr:colOff>
      <xdr:row>14</xdr:row>
      <xdr:rowOff>41275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E99148-23A9-48BE-8ADA-6302386C6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460375</xdr:colOff>
      <xdr:row>0</xdr:row>
      <xdr:rowOff>9525</xdr:rowOff>
    </xdr:from>
    <xdr:to>
      <xdr:col>24</xdr:col>
      <xdr:colOff>155575</xdr:colOff>
      <xdr:row>13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C97CF4-50DE-4C0C-A292-EC1B612B3B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31E2F"/>
  </sheetPr>
  <dimension ref="B2:G24"/>
  <sheetViews>
    <sheetView showGridLines="0" topLeftCell="A2" workbookViewId="0">
      <selection activeCell="B22" sqref="B22"/>
    </sheetView>
  </sheetViews>
  <sheetFormatPr defaultRowHeight="14.5" x14ac:dyDescent="0.35"/>
  <cols>
    <col min="1" max="1" width="3" customWidth="1"/>
    <col min="2" max="2" width="24" customWidth="1"/>
    <col min="3" max="3" width="18" customWidth="1"/>
    <col min="4" max="4" width="24" customWidth="1"/>
    <col min="5" max="5" width="18" customWidth="1"/>
    <col min="6" max="6" width="24" customWidth="1"/>
    <col min="7" max="8" width="6" customWidth="1"/>
  </cols>
  <sheetData>
    <row r="2" spans="2:7" ht="40" customHeight="1" x14ac:dyDescent="0.35">
      <c r="B2" s="36" t="s">
        <v>0</v>
      </c>
      <c r="C2" s="30"/>
      <c r="D2" s="30"/>
      <c r="E2" s="30"/>
      <c r="F2" s="30"/>
    </row>
    <row r="3" spans="2:7" x14ac:dyDescent="0.35">
      <c r="B3" s="29" t="s">
        <v>1</v>
      </c>
      <c r="C3" s="30"/>
      <c r="D3" s="30"/>
      <c r="E3" s="30"/>
      <c r="F3" s="30"/>
    </row>
    <row r="5" spans="2:7" ht="5" customHeight="1" x14ac:dyDescent="0.35">
      <c r="B5" s="47"/>
      <c r="C5" s="24"/>
      <c r="D5" s="48"/>
      <c r="E5" s="35"/>
      <c r="F5" s="40"/>
      <c r="G5" s="32"/>
    </row>
    <row r="6" spans="2:7" x14ac:dyDescent="0.35">
      <c r="B6" s="28" t="s">
        <v>2</v>
      </c>
      <c r="C6" s="24"/>
      <c r="D6" s="34" t="s">
        <v>3</v>
      </c>
      <c r="E6" s="35"/>
      <c r="F6" s="31" t="s">
        <v>4</v>
      </c>
      <c r="G6" s="32"/>
    </row>
    <row r="7" spans="2:7" ht="44" customHeight="1" x14ac:dyDescent="0.35">
      <c r="B7" s="27">
        <f>COUNT('Received Register'!$A$5:$A$200)+COUNT('Dispatched Register'!$A$5:$A$200)</f>
        <v>30</v>
      </c>
      <c r="C7" s="24"/>
      <c r="D7" s="41">
        <f>COUNT('Received Register'!$A$5:$A$200)</f>
        <v>15</v>
      </c>
      <c r="E7" s="35"/>
      <c r="F7" s="33">
        <f>COUNT('Dispatched Register'!$A$5:$A$200)</f>
        <v>15</v>
      </c>
      <c r="G7" s="32"/>
    </row>
    <row r="9" spans="2:7" ht="5" customHeight="1" x14ac:dyDescent="0.35">
      <c r="B9" s="43"/>
      <c r="C9" s="38"/>
      <c r="D9" s="44"/>
      <c r="E9" s="26"/>
      <c r="F9" s="45"/>
      <c r="G9" s="24"/>
    </row>
    <row r="10" spans="2:7" x14ac:dyDescent="0.35">
      <c r="B10" s="42" t="s">
        <v>5</v>
      </c>
      <c r="C10" s="38"/>
      <c r="D10" s="25" t="s">
        <v>6</v>
      </c>
      <c r="E10" s="26"/>
      <c r="F10" s="28" t="s">
        <v>7</v>
      </c>
      <c r="G10" s="24"/>
    </row>
    <row r="11" spans="2:7" ht="44" customHeight="1" x14ac:dyDescent="0.35">
      <c r="B11" s="37">
        <f>COUNTIF('Received Register'!$H$5:$H$200,"Urgent")+COUNTIF('Dispatched Register'!$G$5:$G$200,"Urgent")</f>
        <v>13</v>
      </c>
      <c r="C11" s="38"/>
      <c r="D11" s="39">
        <f>COUNTIF('Received Register'!$H$5:$H$200,"Normal")+COUNTIF('Dispatched Register'!$G$5:$G$200,"Normal")</f>
        <v>17</v>
      </c>
      <c r="E11" s="26"/>
      <c r="F11" s="23">
        <f>COUNTA(Reference!$A$2:$A$8)</f>
        <v>7</v>
      </c>
      <c r="G11" s="24"/>
    </row>
    <row r="14" spans="2:7" ht="15.5" x14ac:dyDescent="0.35">
      <c r="B14" s="1" t="s">
        <v>8</v>
      </c>
    </row>
    <row r="15" spans="2:7" x14ac:dyDescent="0.35">
      <c r="B15" s="2" t="s">
        <v>9</v>
      </c>
      <c r="C15" s="2" t="s">
        <v>10</v>
      </c>
      <c r="D15" s="2" t="s">
        <v>11</v>
      </c>
      <c r="E15" s="2" t="s">
        <v>12</v>
      </c>
    </row>
    <row r="16" spans="2:7" x14ac:dyDescent="0.35">
      <c r="B16" s="3" t="str">
        <f>Analytics!A11</f>
        <v>Executive Secretary</v>
      </c>
      <c r="C16" s="4">
        <f>Analytics!B11</f>
        <v>0</v>
      </c>
      <c r="D16" s="4">
        <f>Analytics!C11</f>
        <v>0</v>
      </c>
      <c r="E16" s="4">
        <f>Analytics!D11</f>
        <v>0</v>
      </c>
    </row>
    <row r="17" spans="2:6" x14ac:dyDescent="0.35">
      <c r="B17" s="5" t="str">
        <f>Analytics!A12</f>
        <v>Regulatory Economics</v>
      </c>
      <c r="C17" s="6">
        <f>Analytics!B12</f>
        <v>2</v>
      </c>
      <c r="D17" s="6">
        <f>Analytics!C12</f>
        <v>2</v>
      </c>
      <c r="E17" s="6">
        <f>Analytics!D12</f>
        <v>4</v>
      </c>
    </row>
    <row r="18" spans="2:6" x14ac:dyDescent="0.35">
      <c r="B18" s="3" t="str">
        <f>Analytics!A13</f>
        <v>Energy Services and Performance Monitoring</v>
      </c>
      <c r="C18" s="4">
        <f>Analytics!B13</f>
        <v>4</v>
      </c>
      <c r="D18" s="4">
        <f>Analytics!C13</f>
        <v>4</v>
      </c>
      <c r="E18" s="4">
        <f>Analytics!D13</f>
        <v>8</v>
      </c>
    </row>
    <row r="19" spans="2:6" x14ac:dyDescent="0.35">
      <c r="B19" s="5" t="str">
        <f>Analytics!A14</f>
        <v>Water Services and Performance Monitoring</v>
      </c>
      <c r="C19" s="6">
        <f>Analytics!B14</f>
        <v>3</v>
      </c>
      <c r="D19" s="6">
        <f>Analytics!C14</f>
        <v>3</v>
      </c>
      <c r="E19" s="6">
        <f>Analytics!D14</f>
        <v>6</v>
      </c>
    </row>
    <row r="20" spans="2:6" x14ac:dyDescent="0.35">
      <c r="B20" s="3" t="str">
        <f>Analytics!A15</f>
        <v>Regional Operations</v>
      </c>
      <c r="C20" s="4">
        <f>Analytics!B15</f>
        <v>2</v>
      </c>
      <c r="D20" s="4">
        <f>Analytics!C15</f>
        <v>2</v>
      </c>
      <c r="E20" s="4">
        <f>Analytics!D15</f>
        <v>4</v>
      </c>
    </row>
    <row r="21" spans="2:6" x14ac:dyDescent="0.35">
      <c r="B21" s="5" t="str">
        <f>Analytics!A16</f>
        <v>Legal Services</v>
      </c>
      <c r="C21" s="6">
        <f>Analytics!B16</f>
        <v>2</v>
      </c>
      <c r="D21" s="6">
        <f>Analytics!C16</f>
        <v>2</v>
      </c>
      <c r="E21" s="6">
        <f>Analytics!D16</f>
        <v>4</v>
      </c>
    </row>
    <row r="22" spans="2:6" x14ac:dyDescent="0.35">
      <c r="B22" s="3" t="str">
        <f>Analytics!A17</f>
        <v>Finance and Administration</v>
      </c>
      <c r="C22" s="4">
        <f>Analytics!B17</f>
        <v>2</v>
      </c>
      <c r="D22" s="4">
        <f>Analytics!C17</f>
        <v>2</v>
      </c>
      <c r="E22" s="4">
        <f>Analytics!D17</f>
        <v>4</v>
      </c>
    </row>
    <row r="24" spans="2:6" x14ac:dyDescent="0.35">
      <c r="B24" s="46" t="s">
        <v>13</v>
      </c>
      <c r="C24" s="30"/>
      <c r="D24" s="30"/>
      <c r="E24" s="30"/>
      <c r="F24" s="30"/>
    </row>
  </sheetData>
  <mergeCells count="21">
    <mergeCell ref="B24:F24"/>
    <mergeCell ref="B5:C5"/>
    <mergeCell ref="D5:E5"/>
    <mergeCell ref="B2:F2"/>
    <mergeCell ref="B11:C11"/>
    <mergeCell ref="D11:E11"/>
    <mergeCell ref="F5:G5"/>
    <mergeCell ref="D7:E7"/>
    <mergeCell ref="B10:C10"/>
    <mergeCell ref="B9:C9"/>
    <mergeCell ref="D9:E9"/>
    <mergeCell ref="F9:G9"/>
    <mergeCell ref="B6:C6"/>
    <mergeCell ref="F11:G11"/>
    <mergeCell ref="D10:E10"/>
    <mergeCell ref="B7:C7"/>
    <mergeCell ref="F10:G10"/>
    <mergeCell ref="B3:F3"/>
    <mergeCell ref="F6:G6"/>
    <mergeCell ref="F7:G7"/>
    <mergeCell ref="D6:E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9D6B"/>
  </sheetPr>
  <dimension ref="A1:I20"/>
  <sheetViews>
    <sheetView showGridLines="0" tabSelected="1" topLeftCell="C1" workbookViewId="0">
      <pane ySplit="4" topLeftCell="A5" activePane="bottomLeft" state="frozen"/>
      <selection pane="bottomLeft" activeCell="C20" sqref="C20"/>
    </sheetView>
  </sheetViews>
  <sheetFormatPr defaultRowHeight="14.5" x14ac:dyDescent="0.35"/>
  <cols>
    <col min="1" max="1" width="12" customWidth="1"/>
    <col min="2" max="2" width="14" customWidth="1"/>
    <col min="3" max="3" width="22" customWidth="1"/>
    <col min="4" max="4" width="30" customWidth="1"/>
    <col min="5" max="5" width="20" customWidth="1"/>
    <col min="6" max="6" width="42" customWidth="1"/>
    <col min="7" max="7" width="30" customWidth="1"/>
    <col min="8" max="8" width="11" customWidth="1"/>
    <col min="9" max="9" width="40" customWidth="1"/>
  </cols>
  <sheetData>
    <row r="1" spans="1:9" ht="30" customHeight="1" x14ac:dyDescent="0.35">
      <c r="A1" s="50" t="s">
        <v>14</v>
      </c>
      <c r="B1" s="30"/>
      <c r="C1" s="30"/>
      <c r="D1" s="30"/>
      <c r="E1" s="30"/>
      <c r="F1" s="30"/>
      <c r="G1" s="30"/>
      <c r="H1" s="30"/>
      <c r="I1" s="30"/>
    </row>
    <row r="2" spans="1:9" ht="16" customHeight="1" x14ac:dyDescent="0.35">
      <c r="A2" s="49" t="s">
        <v>124</v>
      </c>
      <c r="B2" s="30"/>
      <c r="C2" s="30"/>
      <c r="D2" s="30"/>
      <c r="E2" s="30"/>
      <c r="F2" s="30"/>
      <c r="G2" s="30"/>
      <c r="H2" s="30"/>
      <c r="I2" s="30"/>
    </row>
    <row r="4" spans="1:9" ht="32" customHeight="1" x14ac:dyDescent="0.35">
      <c r="A4" s="7" t="s">
        <v>16</v>
      </c>
      <c r="B4" s="7" t="s">
        <v>17</v>
      </c>
      <c r="C4" s="7" t="s">
        <v>18</v>
      </c>
      <c r="D4" s="7" t="s">
        <v>19</v>
      </c>
      <c r="E4" s="7" t="s">
        <v>20</v>
      </c>
      <c r="F4" s="7" t="s">
        <v>21</v>
      </c>
      <c r="G4" s="7" t="s">
        <v>125</v>
      </c>
      <c r="H4" s="7" t="s">
        <v>22</v>
      </c>
      <c r="I4" s="7" t="s">
        <v>23</v>
      </c>
    </row>
    <row r="5" spans="1:9" ht="26" x14ac:dyDescent="0.35">
      <c r="A5" s="8">
        <v>1</v>
      </c>
      <c r="B5" s="9">
        <v>46116</v>
      </c>
      <c r="C5" s="10"/>
      <c r="D5" s="11" t="s">
        <v>24</v>
      </c>
      <c r="E5" s="11" t="s">
        <v>25</v>
      </c>
      <c r="F5" s="11" t="s">
        <v>26</v>
      </c>
      <c r="G5" s="11" t="s">
        <v>27</v>
      </c>
      <c r="H5" s="10" t="s">
        <v>28</v>
      </c>
      <c r="I5" s="11" t="s">
        <v>29</v>
      </c>
    </row>
    <row r="6" spans="1:9" ht="26" x14ac:dyDescent="0.35">
      <c r="A6" s="12">
        <v>2</v>
      </c>
      <c r="B6" s="13">
        <v>46119</v>
      </c>
      <c r="C6" s="14"/>
      <c r="D6" s="15" t="s">
        <v>30</v>
      </c>
      <c r="E6" s="15" t="s">
        <v>31</v>
      </c>
      <c r="F6" s="15" t="s">
        <v>32</v>
      </c>
      <c r="G6" s="15" t="s">
        <v>33</v>
      </c>
      <c r="H6" s="16" t="s">
        <v>34</v>
      </c>
      <c r="I6" s="15" t="s">
        <v>35</v>
      </c>
    </row>
    <row r="7" spans="1:9" ht="39" x14ac:dyDescent="0.35">
      <c r="A7" s="8">
        <v>3</v>
      </c>
      <c r="B7" s="9">
        <v>46123</v>
      </c>
      <c r="C7" s="10"/>
      <c r="D7" s="11" t="s">
        <v>36</v>
      </c>
      <c r="E7" s="11" t="s">
        <v>31</v>
      </c>
      <c r="F7" s="11" t="s">
        <v>37</v>
      </c>
      <c r="G7" s="11" t="s">
        <v>38</v>
      </c>
      <c r="H7" s="10" t="s">
        <v>28</v>
      </c>
      <c r="I7" s="11" t="s">
        <v>39</v>
      </c>
    </row>
    <row r="8" spans="1:9" ht="26" x14ac:dyDescent="0.35">
      <c r="A8" s="12">
        <v>4</v>
      </c>
      <c r="B8" s="13">
        <v>46128</v>
      </c>
      <c r="C8" s="14"/>
      <c r="D8" s="15" t="s">
        <v>40</v>
      </c>
      <c r="E8" s="15" t="s">
        <v>31</v>
      </c>
      <c r="F8" s="15" t="s">
        <v>41</v>
      </c>
      <c r="G8" s="15" t="s">
        <v>42</v>
      </c>
      <c r="H8" s="16" t="s">
        <v>34</v>
      </c>
      <c r="I8" s="15" t="s">
        <v>43</v>
      </c>
    </row>
    <row r="9" spans="1:9" ht="26" x14ac:dyDescent="0.35">
      <c r="A9" s="8">
        <v>5</v>
      </c>
      <c r="B9" s="9">
        <v>46133</v>
      </c>
      <c r="C9" s="10"/>
      <c r="D9" s="11" t="s">
        <v>44</v>
      </c>
      <c r="E9" s="11" t="s">
        <v>31</v>
      </c>
      <c r="F9" s="11" t="s">
        <v>45</v>
      </c>
      <c r="G9" s="11" t="s">
        <v>46</v>
      </c>
      <c r="H9" s="17" t="s">
        <v>34</v>
      </c>
      <c r="I9" s="11" t="s">
        <v>47</v>
      </c>
    </row>
    <row r="10" spans="1:9" ht="26" x14ac:dyDescent="0.35">
      <c r="A10" s="12">
        <v>6</v>
      </c>
      <c r="B10" s="13">
        <v>46139</v>
      </c>
      <c r="C10" s="14"/>
      <c r="D10" s="15" t="s">
        <v>48</v>
      </c>
      <c r="E10" s="15" t="s">
        <v>31</v>
      </c>
      <c r="F10" s="15" t="s">
        <v>49</v>
      </c>
      <c r="G10" s="15" t="s">
        <v>50</v>
      </c>
      <c r="H10" s="14" t="s">
        <v>28</v>
      </c>
      <c r="I10" s="15" t="s">
        <v>51</v>
      </c>
    </row>
    <row r="11" spans="1:9" ht="26" x14ac:dyDescent="0.35">
      <c r="A11" s="8">
        <v>7</v>
      </c>
      <c r="B11" s="9">
        <v>46146</v>
      </c>
      <c r="C11" s="10"/>
      <c r="D11" s="11" t="s">
        <v>52</v>
      </c>
      <c r="E11" s="11" t="s">
        <v>27</v>
      </c>
      <c r="F11" s="11" t="s">
        <v>53</v>
      </c>
      <c r="G11" s="11" t="s">
        <v>27</v>
      </c>
      <c r="H11" s="10" t="s">
        <v>28</v>
      </c>
      <c r="I11" s="11" t="s">
        <v>54</v>
      </c>
    </row>
    <row r="12" spans="1:9" ht="26" x14ac:dyDescent="0.35">
      <c r="A12" s="12">
        <v>8</v>
      </c>
      <c r="B12" s="13">
        <v>46150</v>
      </c>
      <c r="C12" s="14"/>
      <c r="D12" s="15" t="s">
        <v>55</v>
      </c>
      <c r="E12" s="15" t="s">
        <v>31</v>
      </c>
      <c r="F12" s="15" t="s">
        <v>56</v>
      </c>
      <c r="G12" s="15" t="s">
        <v>38</v>
      </c>
      <c r="H12" s="16" t="s">
        <v>34</v>
      </c>
      <c r="I12" s="15" t="s">
        <v>57</v>
      </c>
    </row>
    <row r="13" spans="1:9" ht="26" x14ac:dyDescent="0.35">
      <c r="A13" s="8">
        <v>9</v>
      </c>
      <c r="B13" s="9">
        <v>46153</v>
      </c>
      <c r="C13" s="10"/>
      <c r="D13" s="11" t="s">
        <v>58</v>
      </c>
      <c r="E13" s="11" t="s">
        <v>31</v>
      </c>
      <c r="F13" s="11" t="s">
        <v>59</v>
      </c>
      <c r="G13" s="11" t="s">
        <v>33</v>
      </c>
      <c r="H13" s="10" t="s">
        <v>28</v>
      </c>
      <c r="I13" s="11" t="s">
        <v>60</v>
      </c>
    </row>
    <row r="14" spans="1:9" ht="26" x14ac:dyDescent="0.35">
      <c r="A14" s="12">
        <v>10</v>
      </c>
      <c r="B14" s="13">
        <v>46157</v>
      </c>
      <c r="C14" s="14"/>
      <c r="D14" s="15" t="s">
        <v>24</v>
      </c>
      <c r="E14" s="15" t="s">
        <v>31</v>
      </c>
      <c r="F14" s="15" t="s">
        <v>61</v>
      </c>
      <c r="G14" s="15" t="s">
        <v>27</v>
      </c>
      <c r="H14" s="16" t="s">
        <v>34</v>
      </c>
      <c r="I14" s="15" t="s">
        <v>62</v>
      </c>
    </row>
    <row r="15" spans="1:9" ht="26" x14ac:dyDescent="0.35">
      <c r="A15" s="8">
        <v>11</v>
      </c>
      <c r="B15" s="9">
        <v>46161</v>
      </c>
      <c r="C15" s="10"/>
      <c r="D15" s="11" t="s">
        <v>63</v>
      </c>
      <c r="E15" s="11" t="s">
        <v>31</v>
      </c>
      <c r="F15" s="11" t="s">
        <v>64</v>
      </c>
      <c r="G15" s="11" t="s">
        <v>42</v>
      </c>
      <c r="H15" s="10" t="s">
        <v>28</v>
      </c>
      <c r="I15" s="11" t="s">
        <v>65</v>
      </c>
    </row>
    <row r="16" spans="1:9" ht="26" x14ac:dyDescent="0.35">
      <c r="A16" s="12">
        <v>12</v>
      </c>
      <c r="B16" s="13">
        <v>46164</v>
      </c>
      <c r="C16" s="14"/>
      <c r="D16" s="15" t="s">
        <v>66</v>
      </c>
      <c r="E16" s="15" t="s">
        <v>31</v>
      </c>
      <c r="F16" s="15" t="s">
        <v>67</v>
      </c>
      <c r="G16" s="15" t="s">
        <v>50</v>
      </c>
      <c r="H16" s="14" t="s">
        <v>28</v>
      </c>
      <c r="I16" s="15" t="s">
        <v>68</v>
      </c>
    </row>
    <row r="17" spans="1:9" ht="26" x14ac:dyDescent="0.35">
      <c r="A17" s="8">
        <v>13</v>
      </c>
      <c r="B17" s="9">
        <v>46168</v>
      </c>
      <c r="C17" s="10"/>
      <c r="D17" s="11" t="s">
        <v>69</v>
      </c>
      <c r="E17" s="11" t="s">
        <v>31</v>
      </c>
      <c r="F17" s="11" t="s">
        <v>70</v>
      </c>
      <c r="G17" s="11" t="s">
        <v>46</v>
      </c>
      <c r="H17" s="17" t="s">
        <v>34</v>
      </c>
      <c r="I17" s="11" t="s">
        <v>71</v>
      </c>
    </row>
    <row r="18" spans="1:9" ht="26" x14ac:dyDescent="0.35">
      <c r="A18" s="12">
        <v>14</v>
      </c>
      <c r="B18" s="13">
        <v>46170</v>
      </c>
      <c r="C18" s="14"/>
      <c r="D18" s="15" t="s">
        <v>72</v>
      </c>
      <c r="E18" s="15" t="s">
        <v>31</v>
      </c>
      <c r="F18" s="15" t="s">
        <v>73</v>
      </c>
      <c r="G18" s="15" t="s">
        <v>38</v>
      </c>
      <c r="H18" s="16" t="s">
        <v>34</v>
      </c>
      <c r="I18" s="15" t="s">
        <v>74</v>
      </c>
    </row>
    <row r="19" spans="1:9" ht="26" x14ac:dyDescent="0.35">
      <c r="A19" s="8">
        <v>15</v>
      </c>
      <c r="B19" s="9">
        <v>46174</v>
      </c>
      <c r="C19" s="10"/>
      <c r="D19" s="11" t="s">
        <v>30</v>
      </c>
      <c r="E19" s="11" t="s">
        <v>31</v>
      </c>
      <c r="F19" s="11" t="s">
        <v>75</v>
      </c>
      <c r="G19" s="11" t="s">
        <v>27</v>
      </c>
      <c r="H19" s="10" t="s">
        <v>28</v>
      </c>
      <c r="I19" s="11" t="s">
        <v>76</v>
      </c>
    </row>
    <row r="20" spans="1:9" x14ac:dyDescent="0.35">
      <c r="A20" s="51"/>
      <c r="B20" s="9"/>
    </row>
  </sheetData>
  <autoFilter ref="A4:I19" xr:uid="{00000000-0009-0000-0000-000001000000}"/>
  <mergeCells count="2">
    <mergeCell ref="A2:I2"/>
    <mergeCell ref="A1:I1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Invalid entry" error="Please choose a value from the list." xr:uid="{00000000-0002-0000-0100-000000000000}">
          <x14:formula1>
            <xm:f>Reference!$A$2:$A$8</xm:f>
          </x14:formula1>
          <xm:sqref>G5:G200</xm:sqref>
        </x14:dataValidation>
        <x14:dataValidation type="list" allowBlank="1" showErrorMessage="1" errorTitle="Invalid entry" error="Please choose a value from the list." xr:uid="{00000000-0002-0000-0100-000001000000}">
          <x14:formula1>
            <xm:f>Reference!$B$2:$B$3</xm:f>
          </x14:formula1>
          <xm:sqref>H5:H200</xm:sqref>
        </x14:dataValidation>
        <x14:dataValidation type="list" allowBlank="1" showErrorMessage="1" errorTitle="Invalid entry" error="Please choose a value from the list." xr:uid="{00000000-0002-0000-0100-000003000000}">
          <x14:formula1>
            <xm:f>Reference!$D$2:$D$15</xm:f>
          </x14:formula1>
          <xm:sqref>D5:D200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5BA8"/>
  </sheetPr>
  <dimension ref="A1:H19"/>
  <sheetViews>
    <sheetView showGridLines="0" workbookViewId="0">
      <pane ySplit="4" topLeftCell="A5" activePane="bottomLeft" state="frozen"/>
      <selection pane="bottomLeft" activeCell="C5" sqref="C5:C19"/>
    </sheetView>
  </sheetViews>
  <sheetFormatPr defaultRowHeight="14.5" x14ac:dyDescent="0.35"/>
  <cols>
    <col min="1" max="1" width="12" customWidth="1"/>
    <col min="2" max="2" width="14" customWidth="1"/>
    <col min="3" max="3" width="22" customWidth="1"/>
    <col min="4" max="5" width="30" customWidth="1"/>
    <col min="6" max="6" width="44" customWidth="1"/>
    <col min="7" max="7" width="11" customWidth="1"/>
    <col min="8" max="8" width="40" customWidth="1"/>
  </cols>
  <sheetData>
    <row r="1" spans="1:8" ht="30" customHeight="1" x14ac:dyDescent="0.35">
      <c r="A1" s="50" t="s">
        <v>77</v>
      </c>
      <c r="B1" s="30"/>
      <c r="C1" s="30"/>
      <c r="D1" s="30"/>
      <c r="E1" s="30"/>
      <c r="F1" s="30"/>
      <c r="G1" s="30"/>
      <c r="H1" s="30"/>
    </row>
    <row r="2" spans="1:8" ht="16" customHeight="1" x14ac:dyDescent="0.35">
      <c r="A2" s="49" t="s">
        <v>15</v>
      </c>
      <c r="B2" s="30"/>
      <c r="C2" s="30"/>
      <c r="D2" s="30"/>
      <c r="E2" s="30"/>
      <c r="F2" s="30"/>
      <c r="G2" s="30"/>
      <c r="H2" s="30"/>
    </row>
    <row r="4" spans="1:8" ht="32" customHeight="1" x14ac:dyDescent="0.35">
      <c r="A4" s="7" t="s">
        <v>16</v>
      </c>
      <c r="B4" s="7" t="s">
        <v>78</v>
      </c>
      <c r="C4" s="7" t="s">
        <v>18</v>
      </c>
      <c r="D4" s="7" t="s">
        <v>79</v>
      </c>
      <c r="E4" s="7" t="s">
        <v>80</v>
      </c>
      <c r="F4" s="7" t="s">
        <v>21</v>
      </c>
      <c r="G4" s="7" t="s">
        <v>22</v>
      </c>
      <c r="H4" s="7" t="s">
        <v>23</v>
      </c>
    </row>
    <row r="5" spans="1:8" ht="26" x14ac:dyDescent="0.35">
      <c r="A5" s="8">
        <v>16</v>
      </c>
      <c r="B5" s="9">
        <v>46117</v>
      </c>
      <c r="C5" s="10"/>
      <c r="D5" s="11" t="s">
        <v>24</v>
      </c>
      <c r="E5" s="11" t="s">
        <v>27</v>
      </c>
      <c r="F5" s="11" t="s">
        <v>81</v>
      </c>
      <c r="G5" s="10" t="s">
        <v>28</v>
      </c>
      <c r="H5" s="11" t="s">
        <v>82</v>
      </c>
    </row>
    <row r="6" spans="1:8" ht="26" x14ac:dyDescent="0.35">
      <c r="A6" s="12">
        <v>17</v>
      </c>
      <c r="B6" s="13">
        <v>46122</v>
      </c>
      <c r="C6" s="14"/>
      <c r="D6" s="15" t="s">
        <v>30</v>
      </c>
      <c r="E6" s="15" t="s">
        <v>33</v>
      </c>
      <c r="F6" s="15" t="s">
        <v>83</v>
      </c>
      <c r="G6" s="16" t="s">
        <v>34</v>
      </c>
      <c r="H6" s="15" t="s">
        <v>84</v>
      </c>
    </row>
    <row r="7" spans="1:8" ht="26" x14ac:dyDescent="0.35">
      <c r="A7" s="8">
        <v>18</v>
      </c>
      <c r="B7" s="9">
        <v>46127</v>
      </c>
      <c r="C7" s="10"/>
      <c r="D7" s="11" t="s">
        <v>36</v>
      </c>
      <c r="E7" s="11" t="s">
        <v>38</v>
      </c>
      <c r="F7" s="11" t="s">
        <v>85</v>
      </c>
      <c r="G7" s="10" t="s">
        <v>28</v>
      </c>
      <c r="H7" s="11" t="s">
        <v>86</v>
      </c>
    </row>
    <row r="8" spans="1:8" ht="26" x14ac:dyDescent="0.35">
      <c r="A8" s="12">
        <v>19</v>
      </c>
      <c r="B8" s="13">
        <v>46132</v>
      </c>
      <c r="C8" s="14"/>
      <c r="D8" s="15" t="s">
        <v>87</v>
      </c>
      <c r="E8" s="15" t="s">
        <v>42</v>
      </c>
      <c r="F8" s="15" t="s">
        <v>88</v>
      </c>
      <c r="G8" s="16" t="s">
        <v>34</v>
      </c>
      <c r="H8" s="15" t="s">
        <v>89</v>
      </c>
    </row>
    <row r="9" spans="1:8" ht="26" x14ac:dyDescent="0.35">
      <c r="A9" s="8">
        <v>20</v>
      </c>
      <c r="B9" s="9">
        <v>46137</v>
      </c>
      <c r="C9" s="10"/>
      <c r="D9" s="11" t="s">
        <v>44</v>
      </c>
      <c r="E9" s="11" t="s">
        <v>46</v>
      </c>
      <c r="F9" s="11" t="s">
        <v>90</v>
      </c>
      <c r="G9" s="10" t="s">
        <v>28</v>
      </c>
      <c r="H9" s="11" t="s">
        <v>91</v>
      </c>
    </row>
    <row r="10" spans="1:8" ht="26" x14ac:dyDescent="0.35">
      <c r="A10" s="12">
        <v>21</v>
      </c>
      <c r="B10" s="13">
        <v>46142</v>
      </c>
      <c r="C10" s="14"/>
      <c r="D10" s="15" t="s">
        <v>48</v>
      </c>
      <c r="E10" s="15" t="s">
        <v>50</v>
      </c>
      <c r="F10" s="15" t="s">
        <v>92</v>
      </c>
      <c r="G10" s="14" t="s">
        <v>28</v>
      </c>
      <c r="H10" s="15" t="s">
        <v>93</v>
      </c>
    </row>
    <row r="11" spans="1:8" ht="26" x14ac:dyDescent="0.35">
      <c r="A11" s="8">
        <v>22</v>
      </c>
      <c r="B11" s="9">
        <v>46145</v>
      </c>
      <c r="C11" s="10"/>
      <c r="D11" s="11" t="s">
        <v>52</v>
      </c>
      <c r="E11" s="11" t="s">
        <v>27</v>
      </c>
      <c r="F11" s="11" t="s">
        <v>94</v>
      </c>
      <c r="G11" s="10" t="s">
        <v>28</v>
      </c>
      <c r="H11" s="11" t="s">
        <v>95</v>
      </c>
    </row>
    <row r="12" spans="1:8" ht="26" x14ac:dyDescent="0.35">
      <c r="A12" s="12">
        <v>23</v>
      </c>
      <c r="B12" s="13">
        <v>46151</v>
      </c>
      <c r="C12" s="14"/>
      <c r="D12" s="15" t="s">
        <v>55</v>
      </c>
      <c r="E12" s="15" t="s">
        <v>38</v>
      </c>
      <c r="F12" s="15" t="s">
        <v>96</v>
      </c>
      <c r="G12" s="16" t="s">
        <v>34</v>
      </c>
      <c r="H12" s="15" t="s">
        <v>97</v>
      </c>
    </row>
    <row r="13" spans="1:8" ht="26" x14ac:dyDescent="0.35">
      <c r="A13" s="8">
        <v>24</v>
      </c>
      <c r="B13" s="9">
        <v>46155</v>
      </c>
      <c r="C13" s="10"/>
      <c r="D13" s="11" t="s">
        <v>58</v>
      </c>
      <c r="E13" s="11" t="s">
        <v>33</v>
      </c>
      <c r="F13" s="11" t="s">
        <v>98</v>
      </c>
      <c r="G13" s="10" t="s">
        <v>28</v>
      </c>
      <c r="H13" s="11" t="s">
        <v>99</v>
      </c>
    </row>
    <row r="14" spans="1:8" ht="26" x14ac:dyDescent="0.35">
      <c r="A14" s="12">
        <v>25</v>
      </c>
      <c r="B14" s="13">
        <v>46158</v>
      </c>
      <c r="C14" s="14"/>
      <c r="D14" s="15" t="s">
        <v>24</v>
      </c>
      <c r="E14" s="15" t="s">
        <v>27</v>
      </c>
      <c r="F14" s="15" t="s">
        <v>100</v>
      </c>
      <c r="G14" s="16" t="s">
        <v>34</v>
      </c>
      <c r="H14" s="15" t="s">
        <v>101</v>
      </c>
    </row>
    <row r="15" spans="1:8" ht="26" x14ac:dyDescent="0.35">
      <c r="A15" s="8">
        <v>26</v>
      </c>
      <c r="B15" s="9">
        <v>46162</v>
      </c>
      <c r="C15" s="10"/>
      <c r="D15" s="11" t="s">
        <v>63</v>
      </c>
      <c r="E15" s="11" t="s">
        <v>42</v>
      </c>
      <c r="F15" s="11" t="s">
        <v>102</v>
      </c>
      <c r="G15" s="10" t="s">
        <v>28</v>
      </c>
      <c r="H15" s="11" t="s">
        <v>103</v>
      </c>
    </row>
    <row r="16" spans="1:8" ht="26" x14ac:dyDescent="0.35">
      <c r="A16" s="12">
        <v>27</v>
      </c>
      <c r="B16" s="13">
        <v>46166</v>
      </c>
      <c r="C16" s="14"/>
      <c r="D16" s="15" t="s">
        <v>66</v>
      </c>
      <c r="E16" s="15" t="s">
        <v>50</v>
      </c>
      <c r="F16" s="15" t="s">
        <v>104</v>
      </c>
      <c r="G16" s="14" t="s">
        <v>28</v>
      </c>
      <c r="H16" s="15" t="s">
        <v>105</v>
      </c>
    </row>
    <row r="17" spans="1:8" ht="26" x14ac:dyDescent="0.35">
      <c r="A17" s="8">
        <v>28</v>
      </c>
      <c r="B17" s="9">
        <v>46169</v>
      </c>
      <c r="C17" s="10"/>
      <c r="D17" s="11" t="s">
        <v>69</v>
      </c>
      <c r="E17" s="11" t="s">
        <v>46</v>
      </c>
      <c r="F17" s="11" t="s">
        <v>106</v>
      </c>
      <c r="G17" s="17" t="s">
        <v>34</v>
      </c>
      <c r="H17" s="11" t="s">
        <v>107</v>
      </c>
    </row>
    <row r="18" spans="1:8" ht="26" x14ac:dyDescent="0.35">
      <c r="A18" s="12">
        <v>29</v>
      </c>
      <c r="B18" s="13">
        <v>46172</v>
      </c>
      <c r="C18" s="14"/>
      <c r="D18" s="15" t="s">
        <v>36</v>
      </c>
      <c r="E18" s="15" t="s">
        <v>38</v>
      </c>
      <c r="F18" s="15" t="s">
        <v>108</v>
      </c>
      <c r="G18" s="16" t="s">
        <v>34</v>
      </c>
      <c r="H18" s="15" t="s">
        <v>109</v>
      </c>
    </row>
    <row r="19" spans="1:8" ht="26" x14ac:dyDescent="0.35">
      <c r="A19" s="8">
        <v>30</v>
      </c>
      <c r="B19" s="9">
        <v>46174</v>
      </c>
      <c r="C19" s="10"/>
      <c r="D19" s="11" t="s">
        <v>30</v>
      </c>
      <c r="E19" s="11" t="s">
        <v>27</v>
      </c>
      <c r="F19" s="11" t="s">
        <v>110</v>
      </c>
      <c r="G19" s="10" t="s">
        <v>28</v>
      </c>
      <c r="H19" s="11" t="s">
        <v>111</v>
      </c>
    </row>
  </sheetData>
  <autoFilter ref="A4:H19" xr:uid="{00000000-0009-0000-0000-000002000000}"/>
  <mergeCells count="2">
    <mergeCell ref="A1:H1"/>
    <mergeCell ref="A2:H2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Invalid entry" error="Please choose a value from the list." xr:uid="{00000000-0002-0000-0200-000000000000}">
          <x14:formula1>
            <xm:f>Reference!$A$2:$A$8</xm:f>
          </x14:formula1>
          <xm:sqref>E5:E200</xm:sqref>
        </x14:dataValidation>
        <x14:dataValidation type="list" allowBlank="1" showErrorMessage="1" errorTitle="Invalid entry" error="Please choose a value from the list." xr:uid="{00000000-0002-0000-0200-000001000000}">
          <x14:formula1>
            <xm:f>Reference!$B$2:$B$3</xm:f>
          </x14:formula1>
          <xm:sqref>G5:G200</xm:sqref>
        </x14:dataValidation>
        <x14:dataValidation type="list" allowBlank="1" showErrorMessage="1" errorTitle="Invalid entry" error="Please choose a value from the list." xr:uid="{00000000-0002-0000-0200-000003000000}">
          <x14:formula1>
            <xm:f>Reference!$D$2:$D$15</xm:f>
          </x14:formula1>
          <xm:sqref>D5:D200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38E9A"/>
  </sheetPr>
  <dimension ref="A1:H22"/>
  <sheetViews>
    <sheetView showGridLines="0" workbookViewId="0">
      <selection activeCell="B5" sqref="B5"/>
    </sheetView>
  </sheetViews>
  <sheetFormatPr defaultRowHeight="14.5" x14ac:dyDescent="0.35"/>
  <cols>
    <col min="1" max="1" width="26" customWidth="1"/>
    <col min="2" max="2" width="12" customWidth="1"/>
    <col min="3" max="3" width="13" customWidth="1"/>
    <col min="4" max="4" width="10" customWidth="1"/>
    <col min="5" max="8" width="3" customWidth="1"/>
  </cols>
  <sheetData>
    <row r="1" spans="1:8" ht="28" customHeight="1" x14ac:dyDescent="0.35">
      <c r="A1" s="50" t="s">
        <v>112</v>
      </c>
      <c r="B1" s="30"/>
      <c r="C1" s="30"/>
      <c r="D1" s="30"/>
      <c r="E1" s="30"/>
      <c r="F1" s="30"/>
      <c r="G1" s="30"/>
      <c r="H1" s="30"/>
    </row>
    <row r="3" spans="1:8" ht="15.5" x14ac:dyDescent="0.35">
      <c r="A3" s="1" t="s">
        <v>113</v>
      </c>
    </row>
    <row r="4" spans="1:8" x14ac:dyDescent="0.35">
      <c r="A4" s="18" t="s">
        <v>114</v>
      </c>
      <c r="B4" s="18" t="s">
        <v>10</v>
      </c>
      <c r="C4" s="18" t="s">
        <v>11</v>
      </c>
    </row>
    <row r="5" spans="1:8" x14ac:dyDescent="0.35">
      <c r="A5" s="19" t="s">
        <v>115</v>
      </c>
      <c r="B5" s="20">
        <f>COUNTIFS('Received Register'!$B$5:$B$200,"&gt;="&amp;DATE(2026,4,1),'Received Register'!$B$5:$B$200,"&lt;="&amp;DATE(2026,4,30))</f>
        <v>6</v>
      </c>
      <c r="C5" s="20">
        <f>COUNTIFS('Dispatched Register'!$B$5:$B$200,"&gt;="&amp;DATE(2026,4,1),'Dispatched Register'!$B$5:$B$200,"&lt;="&amp;DATE(2026,4,30))</f>
        <v>6</v>
      </c>
    </row>
    <row r="6" spans="1:8" x14ac:dyDescent="0.35">
      <c r="A6" s="19" t="s">
        <v>116</v>
      </c>
      <c r="B6" s="20">
        <f>COUNTIFS('Received Register'!$B$5:$B$200,"&gt;="&amp;DATE(2026,5,1),'Received Register'!$B$5:$B$200,"&lt;="&amp;DATE(2026,5,31))</f>
        <v>8</v>
      </c>
      <c r="C6" s="20">
        <f>COUNTIFS('Dispatched Register'!$B$5:$B$200,"&gt;="&amp;DATE(2026,5,1),'Dispatched Register'!$B$5:$B$200,"&lt;="&amp;DATE(2026,5,31))</f>
        <v>8</v>
      </c>
    </row>
    <row r="7" spans="1:8" x14ac:dyDescent="0.35">
      <c r="A7" s="19" t="s">
        <v>117</v>
      </c>
      <c r="B7" s="20">
        <f>COUNTIFS('Received Register'!$B$5:$B$200,"&gt;="&amp;DATE(2026,6,1),'Received Register'!$B$5:$B$200,"&lt;="&amp;DATE(2026,6,30))</f>
        <v>1</v>
      </c>
      <c r="C7" s="20">
        <f>COUNTIFS('Dispatched Register'!$B$5:$B$200,"&gt;="&amp;DATE(2026,6,1),'Dispatched Register'!$B$5:$B$200,"&lt;="&amp;DATE(2026,6,30))</f>
        <v>1</v>
      </c>
    </row>
    <row r="9" spans="1:8" ht="15.5" x14ac:dyDescent="0.35">
      <c r="A9" s="1" t="s">
        <v>8</v>
      </c>
    </row>
    <row r="10" spans="1:8" x14ac:dyDescent="0.35">
      <c r="A10" s="18" t="s">
        <v>9</v>
      </c>
      <c r="B10" s="18" t="s">
        <v>10</v>
      </c>
      <c r="C10" s="18" t="s">
        <v>11</v>
      </c>
      <c r="D10" s="18" t="s">
        <v>12</v>
      </c>
    </row>
    <row r="11" spans="1:8" x14ac:dyDescent="0.35">
      <c r="A11" s="19" t="s">
        <v>31</v>
      </c>
      <c r="B11" s="20">
        <f>COUNTIF('Received Register'!$G$5:$G$200,A11)</f>
        <v>0</v>
      </c>
      <c r="C11" s="20">
        <f>COUNTIF('Dispatched Register'!$E$5:$E$200,A11)</f>
        <v>0</v>
      </c>
      <c r="D11" s="20">
        <f t="shared" ref="D11:D17" si="0">B11+C11</f>
        <v>0</v>
      </c>
    </row>
    <row r="12" spans="1:8" x14ac:dyDescent="0.35">
      <c r="A12" s="19" t="s">
        <v>33</v>
      </c>
      <c r="B12" s="20">
        <f>COUNTIF('Received Register'!$G$5:$G$200,A12)</f>
        <v>2</v>
      </c>
      <c r="C12" s="20">
        <f>COUNTIF('Dispatched Register'!$E$5:$E$200,A12)</f>
        <v>2</v>
      </c>
      <c r="D12" s="20">
        <f t="shared" si="0"/>
        <v>4</v>
      </c>
    </row>
    <row r="13" spans="1:8" x14ac:dyDescent="0.35">
      <c r="A13" s="19" t="s">
        <v>27</v>
      </c>
      <c r="B13" s="20">
        <f>COUNTIF('Received Register'!$G$5:$G$200,A13)</f>
        <v>4</v>
      </c>
      <c r="C13" s="20">
        <f>COUNTIF('Dispatched Register'!$E$5:$E$200,A13)</f>
        <v>4</v>
      </c>
      <c r="D13" s="20">
        <f t="shared" si="0"/>
        <v>8</v>
      </c>
    </row>
    <row r="14" spans="1:8" x14ac:dyDescent="0.35">
      <c r="A14" s="19" t="s">
        <v>38</v>
      </c>
      <c r="B14" s="20">
        <f>COUNTIF('Received Register'!$G$5:$G$200,A14)</f>
        <v>3</v>
      </c>
      <c r="C14" s="20">
        <f>COUNTIF('Dispatched Register'!$E$5:$E$200,A14)</f>
        <v>3</v>
      </c>
      <c r="D14" s="20">
        <f t="shared" si="0"/>
        <v>6</v>
      </c>
    </row>
    <row r="15" spans="1:8" x14ac:dyDescent="0.35">
      <c r="A15" s="19" t="s">
        <v>42</v>
      </c>
      <c r="B15" s="20">
        <f>COUNTIF('Received Register'!$G$5:$G$200,A15)</f>
        <v>2</v>
      </c>
      <c r="C15" s="20">
        <f>COUNTIF('Dispatched Register'!$E$5:$E$200,A15)</f>
        <v>2</v>
      </c>
      <c r="D15" s="20">
        <f t="shared" si="0"/>
        <v>4</v>
      </c>
    </row>
    <row r="16" spans="1:8" x14ac:dyDescent="0.35">
      <c r="A16" s="19" t="s">
        <v>46</v>
      </c>
      <c r="B16" s="20">
        <f>COUNTIF('Received Register'!$G$5:$G$200,A16)</f>
        <v>2</v>
      </c>
      <c r="C16" s="20">
        <f>COUNTIF('Dispatched Register'!$E$5:$E$200,A16)</f>
        <v>2</v>
      </c>
      <c r="D16" s="20">
        <f t="shared" si="0"/>
        <v>4</v>
      </c>
    </row>
    <row r="17" spans="1:4" x14ac:dyDescent="0.35">
      <c r="A17" s="19" t="s">
        <v>50</v>
      </c>
      <c r="B17" s="20">
        <f>COUNTIF('Received Register'!$G$5:$G$200,A17)</f>
        <v>2</v>
      </c>
      <c r="C17" s="20">
        <f>COUNTIF('Dispatched Register'!$E$5:$E$200,A17)</f>
        <v>2</v>
      </c>
      <c r="D17" s="20">
        <f t="shared" si="0"/>
        <v>4</v>
      </c>
    </row>
    <row r="19" spans="1:4" ht="15.5" x14ac:dyDescent="0.35">
      <c r="A19" s="1" t="s">
        <v>118</v>
      </c>
    </row>
    <row r="20" spans="1:4" x14ac:dyDescent="0.35">
      <c r="A20" s="18" t="s">
        <v>22</v>
      </c>
      <c r="B20" s="18" t="s">
        <v>119</v>
      </c>
    </row>
    <row r="21" spans="1:4" x14ac:dyDescent="0.35">
      <c r="A21" s="19" t="s">
        <v>28</v>
      </c>
      <c r="B21" s="20">
        <f>COUNTIF('Received Register'!$H$5:$H$200,"Normal")+COUNTIF('Dispatched Register'!$G$5:$G$200,"Normal")</f>
        <v>17</v>
      </c>
    </row>
    <row r="22" spans="1:4" x14ac:dyDescent="0.35">
      <c r="A22" s="21" t="s">
        <v>34</v>
      </c>
      <c r="B22" s="20">
        <f>COUNTIF('Received Register'!$H$5:$H$200,"Urgent")+COUNTIF('Dispatched Register'!$G$5:$G$200,"Urgent")</f>
        <v>13</v>
      </c>
    </row>
  </sheetData>
  <mergeCells count="1">
    <mergeCell ref="A1:H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/>
  </sheetViews>
  <sheetFormatPr defaultRowHeight="14.5" x14ac:dyDescent="0.35"/>
  <cols>
    <col min="1" max="1" width="40" customWidth="1"/>
    <col min="2" max="2" width="12" customWidth="1"/>
    <col min="3" max="3" width="14" customWidth="1"/>
    <col min="4" max="4" width="42" customWidth="1"/>
  </cols>
  <sheetData>
    <row r="1" spans="1:4" x14ac:dyDescent="0.35">
      <c r="A1" s="22" t="s">
        <v>120</v>
      </c>
      <c r="B1" s="22" t="s">
        <v>121</v>
      </c>
      <c r="C1" s="22" t="s">
        <v>122</v>
      </c>
      <c r="D1" s="22" t="s">
        <v>123</v>
      </c>
    </row>
    <row r="2" spans="1:4" x14ac:dyDescent="0.35">
      <c r="A2" s="19" t="s">
        <v>31</v>
      </c>
      <c r="B2" s="19" t="s">
        <v>28</v>
      </c>
      <c r="C2" s="19" t="s">
        <v>10</v>
      </c>
      <c r="D2" s="19" t="s">
        <v>44</v>
      </c>
    </row>
    <row r="3" spans="1:4" x14ac:dyDescent="0.35">
      <c r="A3" s="19" t="s">
        <v>33</v>
      </c>
      <c r="B3" s="19" t="s">
        <v>34</v>
      </c>
      <c r="C3" s="19" t="s">
        <v>11</v>
      </c>
      <c r="D3" s="19" t="s">
        <v>48</v>
      </c>
    </row>
    <row r="4" spans="1:4" x14ac:dyDescent="0.35">
      <c r="A4" s="19" t="s">
        <v>27</v>
      </c>
      <c r="D4" s="19" t="s">
        <v>72</v>
      </c>
    </row>
    <row r="5" spans="1:4" x14ac:dyDescent="0.35">
      <c r="A5" s="19" t="s">
        <v>38</v>
      </c>
      <c r="D5" s="19" t="s">
        <v>55</v>
      </c>
    </row>
    <row r="6" spans="1:4" x14ac:dyDescent="0.35">
      <c r="A6" s="19" t="s">
        <v>42</v>
      </c>
      <c r="D6" s="19" t="s">
        <v>24</v>
      </c>
    </row>
    <row r="7" spans="1:4" x14ac:dyDescent="0.35">
      <c r="A7" s="19" t="s">
        <v>46</v>
      </c>
      <c r="D7" s="19" t="s">
        <v>52</v>
      </c>
    </row>
    <row r="8" spans="1:4" x14ac:dyDescent="0.35">
      <c r="A8" s="19" t="s">
        <v>50</v>
      </c>
      <c r="D8" s="19" t="s">
        <v>58</v>
      </c>
    </row>
    <row r="9" spans="1:4" x14ac:dyDescent="0.35">
      <c r="D9" s="19" t="s">
        <v>36</v>
      </c>
    </row>
    <row r="10" spans="1:4" x14ac:dyDescent="0.35">
      <c r="D10" s="19" t="s">
        <v>69</v>
      </c>
    </row>
    <row r="11" spans="1:4" x14ac:dyDescent="0.35">
      <c r="D11" s="19" t="s">
        <v>30</v>
      </c>
    </row>
    <row r="12" spans="1:4" x14ac:dyDescent="0.35">
      <c r="D12" s="19" t="s">
        <v>40</v>
      </c>
    </row>
    <row r="13" spans="1:4" x14ac:dyDescent="0.35">
      <c r="D13" s="19" t="s">
        <v>63</v>
      </c>
    </row>
    <row r="14" spans="1:4" x14ac:dyDescent="0.35">
      <c r="D14" s="19" t="s">
        <v>87</v>
      </c>
    </row>
    <row r="15" spans="1:4" x14ac:dyDescent="0.35">
      <c r="D15" s="19" t="s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Received Register</vt:lpstr>
      <vt:lpstr>Dispatched Register</vt:lpstr>
      <vt:lpstr>Analytics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PURC Letter &amp; Document Tracking System</dc:title>
  <dc:creator>PURC Executive Secretariat</dc:creator>
  <cp:lastModifiedBy>Eugenia Gyane</cp:lastModifiedBy>
  <dcterms:created xsi:type="dcterms:W3CDTF">2026-07-10T10:19:53Z</dcterms:created>
  <dcterms:modified xsi:type="dcterms:W3CDTF">2026-07-10T12:25:36Z</dcterms:modified>
</cp:coreProperties>
</file>