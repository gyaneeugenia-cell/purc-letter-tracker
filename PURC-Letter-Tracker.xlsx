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ceived Register" sheetId="2" state="visible" r:id="rId2"/>
    <sheet xmlns:r="http://schemas.openxmlformats.org/officeDocument/2006/relationships" name="Dispatched Register" sheetId="3" state="visible" r:id="rId3"/>
    <sheet xmlns:r="http://schemas.openxmlformats.org/officeDocument/2006/relationships" name="Analytics" sheetId="4" state="visible" r:id="rId4"/>
    <sheet xmlns:r="http://schemas.openxmlformats.org/officeDocument/2006/relationships" name="Reference" sheetId="5" state="hidden" r:id="rId5"/>
  </sheets>
  <definedNames>
    <definedName name="_xlnm._FilterDatabase" localSheetId="1" hidden="1">'Received Register'!$A$4:$K$19</definedName>
    <definedName name="_xlnm._FilterDatabase" localSheetId="2" hidden="1">'Dispatched Register'!$A$4:$I$19</definedName>
  </definedNames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2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937"/>
      <sz val="11"/>
    </font>
    <font>
      <name val="Calibri"/>
      <b val="1"/>
      <color rgb="00FFFFFF"/>
      <sz val="16"/>
    </font>
    <font>
      <name val="Calibri"/>
      <i val="1"/>
      <color rgb="005C6675"/>
      <sz val="10"/>
    </font>
    <font>
      <name val="Calibri"/>
      <b val="1"/>
      <color rgb="00FFFFFF"/>
      <sz val="10"/>
    </font>
    <font>
      <name val="Calibri"/>
      <color rgb="001F2937"/>
      <sz val="10"/>
    </font>
    <font>
      <name val="Calibri"/>
      <b val="1"/>
      <color rgb="00465BA8"/>
      <sz val="10"/>
    </font>
    <font>
      <name val="Calibri"/>
      <b val="1"/>
      <color rgb="00E31E2F"/>
      <sz val="10"/>
    </font>
    <font>
      <name val="Calibri"/>
      <b val="1"/>
      <color rgb="001F2937"/>
      <sz val="12"/>
    </font>
    <font>
      <name val="Calibri"/>
      <b val="1"/>
      <color rgb="00E31E2F"/>
      <sz val="11"/>
    </font>
    <font>
      <name val="Calibri"/>
      <b val="1"/>
      <color rgb="00FFFFFF"/>
      <sz val="20"/>
    </font>
    <font>
      <name val="Calibri"/>
      <i val="1"/>
      <color rgb="005C6675"/>
      <sz val="11"/>
    </font>
    <font>
      <name val="Calibri"/>
      <b val="1"/>
      <color rgb="005C6675"/>
      <sz val="10"/>
    </font>
    <font>
      <name val="Calibri"/>
      <b val="1"/>
      <color rgb="00465BA8"/>
      <sz val="30"/>
    </font>
    <font>
      <name val="Calibri"/>
      <b val="1"/>
      <color rgb="001F9D6B"/>
      <sz val="30"/>
    </font>
    <font>
      <name val="Calibri"/>
      <b val="1"/>
      <color rgb="00138E9A"/>
      <sz val="30"/>
    </font>
    <font>
      <name val="Calibri"/>
      <b val="1"/>
      <color rgb="00E31E2F"/>
      <sz val="30"/>
    </font>
    <font>
      <name val="Calibri"/>
      <b val="1"/>
      <color rgb="00B8791A"/>
      <sz val="30"/>
    </font>
    <font>
      <name val="Calibri"/>
      <b val="1"/>
      <color rgb="0034467F"/>
      <sz val="30"/>
    </font>
    <font>
      <name val="Calibri"/>
      <color rgb="001F9D6B"/>
      <sz val="10"/>
    </font>
    <font>
      <name val="Calibri"/>
      <i val="1"/>
      <color rgb="005C6675"/>
      <sz val="9"/>
    </font>
  </fonts>
  <fills count="15">
    <fill>
      <patternFill/>
    </fill>
    <fill>
      <patternFill patternType="gray125"/>
    </fill>
    <fill>
      <patternFill patternType="solid">
        <fgColor rgb="00465BA8"/>
      </patternFill>
    </fill>
    <fill>
      <patternFill patternType="solid">
        <fgColor rgb="0034467F"/>
      </patternFill>
    </fill>
    <fill>
      <patternFill patternType="solid">
        <fgColor rgb="00FFFFFF"/>
      </patternFill>
    </fill>
    <fill>
      <patternFill patternType="solid">
        <fgColor rgb="00F5F7FB"/>
      </patternFill>
    </fill>
    <fill>
      <patternFill patternType="solid">
        <fgColor rgb="00E9ECF7"/>
      </patternFill>
    </fill>
    <fill>
      <patternFill patternType="solid">
        <fgColor rgb="001F9D6B"/>
      </patternFill>
    </fill>
    <fill>
      <patternFill patternType="solid">
        <fgColor rgb="00E4F4EC"/>
      </patternFill>
    </fill>
    <fill>
      <patternFill patternType="solid">
        <fgColor rgb="00138E9A"/>
      </patternFill>
    </fill>
    <fill>
      <patternFill patternType="solid">
        <fgColor rgb="00E1F1F2"/>
      </patternFill>
    </fill>
    <fill>
      <patternFill patternType="solid">
        <fgColor rgb="00E31E2F"/>
      </patternFill>
    </fill>
    <fill>
      <patternFill patternType="solid">
        <fgColor rgb="00FBE4E6"/>
      </patternFill>
    </fill>
    <fill>
      <patternFill patternType="solid">
        <fgColor rgb="00B8791A"/>
      </patternFill>
    </fill>
    <fill>
      <patternFill patternType="solid">
        <fgColor rgb="00FBEFD8"/>
      </patternFill>
    </fill>
  </fills>
  <borders count="7">
    <border>
      <left/>
      <right/>
      <top/>
      <bottom/>
      <diagonal/>
    </border>
    <border>
      <left style="thin">
        <color rgb="00D8DEEA"/>
      </left>
      <right style="thin">
        <color rgb="00D8DEEA"/>
      </right>
      <top style="thin">
        <color rgb="00D8DEEA"/>
      </top>
      <bottom style="thin">
        <color rgb="00D8DEEA"/>
      </bottom>
    </border>
    <border>
      <left style="thin">
        <color rgb="00E9ECF7"/>
      </left>
      <right style="thin">
        <color rgb="00E9ECF7"/>
      </right>
      <top style="thin">
        <color rgb="00E9ECF7"/>
      </top>
      <bottom style="thin">
        <color rgb="00E9ECF7"/>
      </bottom>
    </border>
    <border>
      <left style="thin">
        <color rgb="00E4F4EC"/>
      </left>
      <right style="thin">
        <color rgb="00E4F4EC"/>
      </right>
      <top style="thin">
        <color rgb="00E4F4EC"/>
      </top>
      <bottom style="thin">
        <color rgb="00E4F4EC"/>
      </bottom>
    </border>
    <border>
      <left style="thin">
        <color rgb="00E1F1F2"/>
      </left>
      <right style="thin">
        <color rgb="00E1F1F2"/>
      </right>
      <top style="thin">
        <color rgb="00E1F1F2"/>
      </top>
      <bottom style="thin">
        <color rgb="00E1F1F2"/>
      </bottom>
    </border>
    <border>
      <left style="thin">
        <color rgb="00FBE4E6"/>
      </left>
      <right style="thin">
        <color rgb="00FBE4E6"/>
      </right>
      <top style="thin">
        <color rgb="00FBE4E6"/>
      </top>
      <bottom style="thin">
        <color rgb="00FBE4E6"/>
      </bottom>
    </border>
    <border>
      <left style="thin">
        <color rgb="00FBEFD8"/>
      </left>
      <right style="thin">
        <color rgb="00FBEFD8"/>
      </right>
      <top style="thin">
        <color rgb="00FBEFD8"/>
      </top>
      <bottom style="thin">
        <color rgb="00FBEFD8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1" fillId="2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0" fillId="0" borderId="2" pivotButton="0" quotePrefix="0" xfId="0"/>
    <xf numFmtId="0" fontId="2" fillId="7" borderId="3" applyAlignment="1" pivotButton="0" quotePrefix="0" xfId="0">
      <alignment horizontal="left" vertical="center"/>
    </xf>
    <xf numFmtId="0" fontId="0" fillId="0" borderId="3" pivotButton="0" quotePrefix="0" xfId="0"/>
    <xf numFmtId="0" fontId="2" fillId="9" borderId="4" applyAlignment="1" pivotButton="0" quotePrefix="0" xfId="0">
      <alignment horizontal="left" vertical="center"/>
    </xf>
    <xf numFmtId="0" fontId="0" fillId="0" borderId="4" pivotButton="0" quotePrefix="0" xfId="0"/>
    <xf numFmtId="0" fontId="13" fillId="6" borderId="2" applyAlignment="1" pivotButton="0" quotePrefix="0" xfId="0">
      <alignment horizontal="left" vertical="center"/>
    </xf>
    <xf numFmtId="0" fontId="13" fillId="8" borderId="3" applyAlignment="1" pivotButton="0" quotePrefix="0" xfId="0">
      <alignment horizontal="left" vertical="center"/>
    </xf>
    <xf numFmtId="0" fontId="13" fillId="10" borderId="4" applyAlignment="1" pivotButton="0" quotePrefix="0" xfId="0">
      <alignment horizontal="left" vertical="center"/>
    </xf>
    <xf numFmtId="0" fontId="14" fillId="6" borderId="2" applyAlignment="1" pivotButton="0" quotePrefix="0" xfId="0">
      <alignment horizontal="center" vertical="center"/>
    </xf>
    <xf numFmtId="0" fontId="15" fillId="8" borderId="3" applyAlignment="1" pivotButton="0" quotePrefix="0" xfId="0">
      <alignment horizontal="center" vertical="center"/>
    </xf>
    <xf numFmtId="0" fontId="16" fillId="10" borderId="4" applyAlignment="1" pivotButton="0" quotePrefix="0" xfId="0">
      <alignment horizontal="center" vertical="center"/>
    </xf>
    <xf numFmtId="0" fontId="2" fillId="11" borderId="5" applyAlignment="1" pivotButton="0" quotePrefix="0" xfId="0">
      <alignment horizontal="left" vertical="center"/>
    </xf>
    <xf numFmtId="0" fontId="0" fillId="0" borderId="5" pivotButton="0" quotePrefix="0" xfId="0"/>
    <xf numFmtId="0" fontId="2" fillId="13" borderId="6" applyAlignment="1" pivotButton="0" quotePrefix="0" xfId="0">
      <alignment horizontal="left" vertical="center"/>
    </xf>
    <xf numFmtId="0" fontId="0" fillId="0" borderId="6" pivotButton="0" quotePrefix="0" xfId="0"/>
    <xf numFmtId="0" fontId="2" fillId="3" borderId="2" applyAlignment="1" pivotButton="0" quotePrefix="0" xfId="0">
      <alignment horizontal="left" vertical="center"/>
    </xf>
    <xf numFmtId="0" fontId="13" fillId="12" borderId="5" applyAlignment="1" pivotButton="0" quotePrefix="0" xfId="0">
      <alignment horizontal="left" vertical="center"/>
    </xf>
    <xf numFmtId="0" fontId="13" fillId="14" borderId="6" applyAlignment="1" pivotButton="0" quotePrefix="0" xfId="0">
      <alignment horizontal="left" vertical="center"/>
    </xf>
    <xf numFmtId="0" fontId="17" fillId="12" borderId="5" applyAlignment="1" pivotButton="0" quotePrefix="0" xfId="0">
      <alignment horizontal="center" vertical="center"/>
    </xf>
    <xf numFmtId="0" fontId="18" fillId="14" borderId="6" applyAlignment="1" pivotButton="0" quotePrefix="0" xfId="0">
      <alignment horizontal="center" vertical="center"/>
    </xf>
    <xf numFmtId="0" fontId="19" fillId="6" borderId="2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left" vertical="center"/>
    </xf>
    <xf numFmtId="0" fontId="20" fillId="5" borderId="1" applyAlignment="1" pivotButton="0" quotePrefix="0" xfId="0">
      <alignment horizontal="center" vertical="center"/>
    </xf>
    <xf numFmtId="0" fontId="20" fillId="4" borderId="1" applyAlignment="1" pivotButton="0" quotePrefix="0" xfId="0">
      <alignment horizontal="left" vertical="center"/>
    </xf>
    <xf numFmtId="0" fontId="20" fillId="4" borderId="1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165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165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Letters by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'Analytics'!B4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'Analytics'!$A$5:$A$7</f>
            </numRef>
          </cat>
          <val>
            <numRef>
              <f>'Analytics'!$B$5:$B$7</f>
            </numRef>
          </val>
        </ser>
        <ser>
          <idx val="1"/>
          <order val="1"/>
          <tx>
            <strRef>
              <f>'Analytics'!C4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'Analytics'!$A$5:$A$7</f>
            </numRef>
          </cat>
          <val>
            <numRef>
              <f>'Analytics'!$C$5:$C$7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Directorate Workload (Total)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'Analytics'!D10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'Analytics'!$A$11:$A$17</f>
            </numRef>
          </cat>
          <val>
            <numRef>
              <f>'Analytics'!$D$11:$D$17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Priority Split</a:t>
            </a:r>
          </a:p>
        </rich>
      </tx>
    </title>
    <plotArea>
      <pieChart>
        <varyColors val="1"/>
        <ser>
          <idx val="0"/>
          <order val="0"/>
          <tx>
            <strRef>
              <f>'Analytics'!B20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'Analytics'!$A$21:$A$22</f>
            </numRef>
          </cat>
          <val>
            <numRef>
              <f>'Analytics'!$B$21:$B$22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18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35</row>
      <rowOff>0</rowOff>
    </from>
    <ext cx="324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E31E2F"/>
    <outlinePr summaryBelow="1" summaryRight="1"/>
    <pageSetUpPr/>
  </sheetPr>
  <dimension ref="B2:G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18" customWidth="1" min="3" max="3"/>
    <col width="24" customWidth="1" min="4" max="4"/>
    <col width="18" customWidth="1" min="5" max="5"/>
    <col width="24" customWidth="1" min="6" max="6"/>
    <col width="6" customWidth="1" min="7" max="7"/>
    <col width="6" customWidth="1" min="8" max="8"/>
  </cols>
  <sheetData>
    <row r="2" ht="40" customHeight="1">
      <c r="B2" s="1" t="inlineStr">
        <is>
          <t xml:space="preserve">  PURC Letter &amp; Document Tracking System</t>
        </is>
      </c>
    </row>
    <row r="3">
      <c r="B3" s="2" t="inlineStr">
        <is>
          <t xml:space="preserve">  Executive Dashboard  ·  Energy Sector Correspondence Register</t>
        </is>
      </c>
    </row>
    <row r="5" ht="5" customHeight="1">
      <c r="B5" s="3" t="n"/>
      <c r="C5" s="4" t="n"/>
      <c r="D5" s="5" t="n"/>
      <c r="E5" s="6" t="n"/>
      <c r="F5" s="7" t="n"/>
      <c r="G5" s="8" t="n"/>
    </row>
    <row r="6">
      <c r="B6" s="9" t="inlineStr">
        <is>
          <t xml:space="preserve">  TOTAL LETTERS</t>
        </is>
      </c>
      <c r="C6" s="4" t="n"/>
      <c r="D6" s="10" t="inlineStr">
        <is>
          <t xml:space="preserve">  TOTAL RECEIVED</t>
        </is>
      </c>
      <c r="E6" s="6" t="n"/>
      <c r="F6" s="11" t="inlineStr">
        <is>
          <t xml:space="preserve">  TOTAL DISPATCHED</t>
        </is>
      </c>
      <c r="G6" s="8" t="n"/>
    </row>
    <row r="7" ht="44" customHeight="1">
      <c r="B7" s="12">
        <f>COUNT('Received Register'!$A$5:$A$200)+COUNT('Dispatched Register'!$A$5:$A$200)</f>
        <v/>
      </c>
      <c r="C7" s="4" t="n"/>
      <c r="D7" s="13">
        <f>COUNT('Received Register'!$A$5:$A$200)</f>
        <v/>
      </c>
      <c r="E7" s="6" t="n"/>
      <c r="F7" s="14">
        <f>COUNT('Dispatched Register'!$A$5:$A$200)</f>
        <v/>
      </c>
      <c r="G7" s="8" t="n"/>
    </row>
    <row r="9" ht="5" customHeight="1">
      <c r="B9" s="15" t="n"/>
      <c r="C9" s="16" t="n"/>
      <c r="D9" s="17" t="n"/>
      <c r="E9" s="18" t="n"/>
      <c r="F9" s="19" t="n"/>
      <c r="G9" s="4" t="n"/>
    </row>
    <row r="10">
      <c r="B10" s="20" t="inlineStr">
        <is>
          <t xml:space="preserve">  URGENT LETTERS</t>
        </is>
      </c>
      <c r="C10" s="16" t="n"/>
      <c r="D10" s="21" t="inlineStr">
        <is>
          <t xml:space="preserve">  NORMAL LETTERS</t>
        </is>
      </c>
      <c r="E10" s="18" t="n"/>
      <c r="F10" s="9" t="inlineStr">
        <is>
          <t xml:space="preserve">  DIRECTORATES</t>
        </is>
      </c>
      <c r="G10" s="4" t="n"/>
    </row>
    <row r="11" ht="44" customHeight="1">
      <c r="B11" s="22">
        <f>COUNTIF('Received Register'!$I$5:$I$200,"Urgent")+COUNTIF('Dispatched Register'!$G$5:$G$200,"Urgent")</f>
        <v/>
      </c>
      <c r="C11" s="16" t="n"/>
      <c r="D11" s="23">
        <f>COUNTIF('Received Register'!$I$5:$I$200,"Normal")+COUNTIF('Dispatched Register'!$G$5:$G$200,"Normal")</f>
        <v/>
      </c>
      <c r="E11" s="18" t="n"/>
      <c r="F11" s="24">
        <f>COUNTA(Reference!$A$2:$A$8)</f>
        <v/>
      </c>
      <c r="G11" s="4" t="n"/>
    </row>
    <row r="14">
      <c r="B14" s="25" t="inlineStr">
        <is>
          <t>Directorate Workload</t>
        </is>
      </c>
    </row>
    <row r="15">
      <c r="B15" s="26" t="inlineStr">
        <is>
          <t>Directorate</t>
        </is>
      </c>
      <c r="C15" s="26" t="inlineStr">
        <is>
          <t>Received</t>
        </is>
      </c>
      <c r="D15" s="26" t="inlineStr">
        <is>
          <t>Dispatched</t>
        </is>
      </c>
      <c r="E15" s="26" t="inlineStr">
        <is>
          <t>Total</t>
        </is>
      </c>
    </row>
    <row r="16">
      <c r="B16" s="27">
        <f>Analytics!A11</f>
        <v/>
      </c>
      <c r="C16" s="28">
        <f>Analytics!B11</f>
        <v/>
      </c>
      <c r="D16" s="28">
        <f>Analytics!C11</f>
        <v/>
      </c>
      <c r="E16" s="28">
        <f>Analytics!D11</f>
        <v/>
      </c>
    </row>
    <row r="17">
      <c r="B17" s="29">
        <f>Analytics!A12</f>
        <v/>
      </c>
      <c r="C17" s="30">
        <f>Analytics!B12</f>
        <v/>
      </c>
      <c r="D17" s="30">
        <f>Analytics!C12</f>
        <v/>
      </c>
      <c r="E17" s="30">
        <f>Analytics!D12</f>
        <v/>
      </c>
    </row>
    <row r="18">
      <c r="B18" s="27">
        <f>Analytics!A13</f>
        <v/>
      </c>
      <c r="C18" s="28">
        <f>Analytics!B13</f>
        <v/>
      </c>
      <c r="D18" s="28">
        <f>Analytics!C13</f>
        <v/>
      </c>
      <c r="E18" s="28">
        <f>Analytics!D13</f>
        <v/>
      </c>
    </row>
    <row r="19">
      <c r="B19" s="29">
        <f>Analytics!A14</f>
        <v/>
      </c>
      <c r="C19" s="30">
        <f>Analytics!B14</f>
        <v/>
      </c>
      <c r="D19" s="30">
        <f>Analytics!C14</f>
        <v/>
      </c>
      <c r="E19" s="30">
        <f>Analytics!D14</f>
        <v/>
      </c>
    </row>
    <row r="20">
      <c r="B20" s="27">
        <f>Analytics!A15</f>
        <v/>
      </c>
      <c r="C20" s="28">
        <f>Analytics!B15</f>
        <v/>
      </c>
      <c r="D20" s="28">
        <f>Analytics!C15</f>
        <v/>
      </c>
      <c r="E20" s="28">
        <f>Analytics!D15</f>
        <v/>
      </c>
    </row>
    <row r="21">
      <c r="B21" s="29">
        <f>Analytics!A16</f>
        <v/>
      </c>
      <c r="C21" s="30">
        <f>Analytics!B16</f>
        <v/>
      </c>
      <c r="D21" s="30">
        <f>Analytics!C16</f>
        <v/>
      </c>
      <c r="E21" s="30">
        <f>Analytics!D16</f>
        <v/>
      </c>
    </row>
    <row r="22">
      <c r="B22" s="27">
        <f>Analytics!A17</f>
        <v/>
      </c>
      <c r="C22" s="28">
        <f>Analytics!B17</f>
        <v/>
      </c>
      <c r="D22" s="28">
        <f>Analytics!C17</f>
        <v/>
      </c>
      <c r="E22" s="28">
        <f>Analytics!D17</f>
        <v/>
      </c>
    </row>
    <row r="24">
      <c r="B24" s="31" t="inlineStr">
        <is>
          <t xml:space="preserve">  Figures update automatically from the Received &amp; Dispatched registers. Green cells are links to other sheets.</t>
        </is>
      </c>
    </row>
  </sheetData>
  <mergeCells count="21">
    <mergeCell ref="F11:G11"/>
    <mergeCell ref="D10:E10"/>
    <mergeCell ref="B7:C7"/>
    <mergeCell ref="F10:G10"/>
    <mergeCell ref="B3:F3"/>
    <mergeCell ref="F6:G6"/>
    <mergeCell ref="F7:G7"/>
    <mergeCell ref="D6:E6"/>
    <mergeCell ref="B2:F2"/>
    <mergeCell ref="B11:C11"/>
    <mergeCell ref="D11:E11"/>
    <mergeCell ref="F5:G5"/>
    <mergeCell ref="D7:E7"/>
    <mergeCell ref="B10:C10"/>
    <mergeCell ref="B9:C9"/>
    <mergeCell ref="D9:E9"/>
    <mergeCell ref="F9:G9"/>
    <mergeCell ref="B6:C6"/>
    <mergeCell ref="B24:F24"/>
    <mergeCell ref="B5:C5"/>
    <mergeCell ref="D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9D6B"/>
    <outlinePr summaryBelow="1" summaryRight="1"/>
    <pageSetUpPr/>
  </sheetPr>
  <dimension ref="A1:K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30" customWidth="1" min="4" max="4"/>
    <col width="26" customWidth="1" min="5" max="5"/>
    <col width="20" customWidth="1" min="6" max="6"/>
    <col width="42" customWidth="1" min="7" max="7"/>
    <col width="30" customWidth="1" min="8" max="8"/>
    <col width="11" customWidth="1" min="9" max="9"/>
    <col width="13" customWidth="1" min="10" max="10"/>
    <col width="40" customWidth="1" min="11" max="11"/>
  </cols>
  <sheetData>
    <row r="1" ht="30" customHeight="1">
      <c r="A1" s="32" t="inlineStr">
        <is>
          <t xml:space="preserve">  Received Letter Register</t>
        </is>
      </c>
    </row>
    <row r="2" ht="16" customHeight="1">
      <c r="A2" s="33" t="inlineStr">
        <is>
          <t xml:space="preserve">  Public Utilities Regulatory Commission  ·  Executive Secretariat, Energy Sector</t>
        </is>
      </c>
    </row>
    <row r="4" ht="32" customHeight="1">
      <c r="A4" s="34" t="inlineStr">
        <is>
          <t>Registry No</t>
        </is>
      </c>
      <c r="B4" s="34" t="inlineStr">
        <is>
          <t>Letter Date</t>
        </is>
      </c>
      <c r="C4" s="34" t="inlineStr">
        <is>
          <t>Reference No</t>
        </is>
      </c>
      <c r="D4" s="34" t="inlineStr">
        <is>
          <t>Sender Institution</t>
        </is>
      </c>
      <c r="E4" s="34" t="inlineStr">
        <is>
          <t>From (Signatory)</t>
        </is>
      </c>
      <c r="F4" s="34" t="inlineStr">
        <is>
          <t>Received By</t>
        </is>
      </c>
      <c r="G4" s="34" t="inlineStr">
        <is>
          <t>Subject</t>
        </is>
      </c>
      <c r="H4" s="34" t="inlineStr">
        <is>
          <t>Directorate</t>
        </is>
      </c>
      <c r="I4" s="34" t="inlineStr">
        <is>
          <t>Priority</t>
        </is>
      </c>
      <c r="J4" s="34" t="inlineStr">
        <is>
          <t>Status</t>
        </is>
      </c>
      <c r="K4" s="34" t="inlineStr">
        <is>
          <t>Remarks</t>
        </is>
      </c>
    </row>
    <row r="5">
      <c r="A5" s="35" t="n">
        <v>1</v>
      </c>
      <c r="B5" s="36" t="n">
        <v>46116</v>
      </c>
      <c r="C5" s="37" t="inlineStr">
        <is>
          <t>1</t>
        </is>
      </c>
      <c r="D5" s="38" t="inlineStr">
        <is>
          <t>Electricity Company of Ghana</t>
        </is>
      </c>
      <c r="E5" s="38" t="inlineStr">
        <is>
          <t>Managing Director, Electricity Company of Ghana</t>
        </is>
      </c>
      <c r="F5" s="38" t="inlineStr">
        <is>
          <t>Cecil Oduro Nyarko</t>
        </is>
      </c>
      <c r="G5" s="38" t="inlineStr">
        <is>
          <t>Request for Data on Electricity Cost</t>
        </is>
      </c>
      <c r="H5" s="38" t="inlineStr">
        <is>
          <t>Energy Services and Performance Monitoring</t>
        </is>
      </c>
      <c r="I5" s="37" t="inlineStr">
        <is>
          <t>Normal</t>
        </is>
      </c>
      <c r="J5" s="37" t="inlineStr">
        <is>
          <t>Received</t>
        </is>
      </c>
      <c r="K5" s="38" t="inlineStr">
        <is>
          <t>Received at ES through Natasha, Front Desk. Not yet dispatched.</t>
        </is>
      </c>
    </row>
    <row r="6">
      <c r="A6" s="39" t="n">
        <v>2</v>
      </c>
      <c r="B6" s="40" t="n">
        <v>46119</v>
      </c>
      <c r="C6" s="41" t="inlineStr">
        <is>
          <t>2</t>
        </is>
      </c>
      <c r="D6" s="42" t="inlineStr">
        <is>
          <t>Northern Electricity Distribution Company</t>
        </is>
      </c>
      <c r="E6" s="42" t="inlineStr">
        <is>
          <t>Northern Electricity Distribution Company</t>
        </is>
      </c>
      <c r="F6" s="42" t="inlineStr">
        <is>
          <t>Executive Secretary</t>
        </is>
      </c>
      <c r="G6" s="42" t="inlineStr">
        <is>
          <t>Request for clarification on 2026 tariff adjustment</t>
        </is>
      </c>
      <c r="H6" s="42" t="inlineStr">
        <is>
          <t>Regulatory Economics</t>
        </is>
      </c>
      <c r="I6" s="43" t="inlineStr">
        <is>
          <t>Urgent</t>
        </is>
      </c>
      <c r="J6" s="41" t="inlineStr">
        <is>
          <t>Received</t>
        </is>
      </c>
      <c r="K6" s="42" t="inlineStr">
        <is>
          <t>Dispatched from ES to Regulatory Economics for tariff review.</t>
        </is>
      </c>
    </row>
    <row r="7">
      <c r="A7" s="35" t="n">
        <v>3</v>
      </c>
      <c r="B7" s="36" t="n">
        <v>46123</v>
      </c>
      <c r="C7" s="37" t="inlineStr">
        <is>
          <t>3</t>
        </is>
      </c>
      <c r="D7" s="38" t="inlineStr">
        <is>
          <t>Ghana Water Company Limited</t>
        </is>
      </c>
      <c r="E7" s="38" t="inlineStr">
        <is>
          <t>Ghana Water Company Limited</t>
        </is>
      </c>
      <c r="F7" s="38" t="inlineStr">
        <is>
          <t>Executive Secretary</t>
        </is>
      </c>
      <c r="G7" s="38" t="inlineStr">
        <is>
          <t>Submission of water quality monitoring returns</t>
        </is>
      </c>
      <c r="H7" s="38" t="inlineStr">
        <is>
          <t>Water Services and Performance Monitoring</t>
        </is>
      </c>
      <c r="I7" s="37" t="inlineStr">
        <is>
          <t>Normal</t>
        </is>
      </c>
      <c r="J7" s="37" t="inlineStr">
        <is>
          <t>Received</t>
        </is>
      </c>
      <c r="K7" s="38" t="inlineStr">
        <is>
          <t>Dispatched from ES to Water Services and Performance Monitoring. Received by department on April 12, 2026.</t>
        </is>
      </c>
    </row>
    <row r="8">
      <c r="A8" s="39" t="n">
        <v>4</v>
      </c>
      <c r="B8" s="40" t="n">
        <v>46128</v>
      </c>
      <c r="C8" s="41" t="inlineStr">
        <is>
          <t>4</t>
        </is>
      </c>
      <c r="D8" s="42" t="inlineStr">
        <is>
          <t>Northern Region Consumer Group</t>
        </is>
      </c>
      <c r="E8" s="42" t="inlineStr">
        <is>
          <t>Northern Region Consumer Group</t>
        </is>
      </c>
      <c r="F8" s="42" t="inlineStr">
        <is>
          <t>Executive Secretary</t>
        </is>
      </c>
      <c r="G8" s="42" t="inlineStr">
        <is>
          <t>Consumer petition on estimated billing in Tamale</t>
        </is>
      </c>
      <c r="H8" s="42" t="inlineStr">
        <is>
          <t>Regional Operations</t>
        </is>
      </c>
      <c r="I8" s="43" t="inlineStr">
        <is>
          <t>Urgent</t>
        </is>
      </c>
      <c r="J8" s="41" t="inlineStr">
        <is>
          <t>Received</t>
        </is>
      </c>
      <c r="K8" s="42" t="inlineStr">
        <is>
          <t>Urgent petition dispatched from ES to Regional Operations for regional follow-up.</t>
        </is>
      </c>
    </row>
    <row r="9">
      <c r="A9" s="35" t="n">
        <v>5</v>
      </c>
      <c r="B9" s="36" t="n">
        <v>46133</v>
      </c>
      <c r="C9" s="37" t="inlineStr">
        <is>
          <t>5</t>
        </is>
      </c>
      <c r="D9" s="38" t="inlineStr">
        <is>
          <t>Association of Independent Power Producers</t>
        </is>
      </c>
      <c r="E9" s="38" t="inlineStr">
        <is>
          <t>Association of Independent Power Producers</t>
        </is>
      </c>
      <c r="F9" s="38" t="inlineStr">
        <is>
          <t>Executive Secretary</t>
        </is>
      </c>
      <c r="G9" s="38" t="inlineStr">
        <is>
          <t>Request for legal opinion on licence condition</t>
        </is>
      </c>
      <c r="H9" s="38" t="inlineStr">
        <is>
          <t>Legal Services</t>
        </is>
      </c>
      <c r="I9" s="44" t="inlineStr">
        <is>
          <t>Urgent</t>
        </is>
      </c>
      <c r="J9" s="37" t="inlineStr">
        <is>
          <t>Received</t>
        </is>
      </c>
      <c r="K9" s="38" t="inlineStr">
        <is>
          <t>Received at ES office and awaiting dispatch to Legal Services.</t>
        </is>
      </c>
    </row>
    <row r="10">
      <c r="A10" s="39" t="n">
        <v>6</v>
      </c>
      <c r="B10" s="40" t="n">
        <v>46139</v>
      </c>
      <c r="C10" s="41" t="inlineStr">
        <is>
          <t>6</t>
        </is>
      </c>
      <c r="D10" s="42" t="inlineStr">
        <is>
          <t>BlueGate Conference Services</t>
        </is>
      </c>
      <c r="E10" s="42" t="inlineStr">
        <is>
          <t>BlueGate Conference Services</t>
        </is>
      </c>
      <c r="F10" s="42" t="inlineStr">
        <is>
          <t>Executive Secretary</t>
        </is>
      </c>
      <c r="G10" s="42" t="inlineStr">
        <is>
          <t>Invoice submission for stakeholder workshop logistics</t>
        </is>
      </c>
      <c r="H10" s="42" t="inlineStr">
        <is>
          <t>Finance and Administration</t>
        </is>
      </c>
      <c r="I10" s="41" t="inlineStr">
        <is>
          <t>Normal</t>
        </is>
      </c>
      <c r="J10" s="41" t="inlineStr">
        <is>
          <t>Received</t>
        </is>
      </c>
      <c r="K10" s="42" t="inlineStr">
        <is>
          <t>Dispatched from ES to Finance and Administration for payment verification.</t>
        </is>
      </c>
    </row>
    <row r="11">
      <c r="A11" s="35" t="n">
        <v>7</v>
      </c>
      <c r="B11" s="36" t="n">
        <v>46146</v>
      </c>
      <c r="C11" s="37" t="inlineStr">
        <is>
          <t>7</t>
        </is>
      </c>
      <c r="D11" s="38" t="inlineStr">
        <is>
          <t>Ghana Grid Company Limited</t>
        </is>
      </c>
      <c r="E11" s="38" t="inlineStr">
        <is>
          <t>Ghana Grid Company Limited</t>
        </is>
      </c>
      <c r="F11" s="38" t="inlineStr">
        <is>
          <t>Energy Services and Performance Monitoring</t>
        </is>
      </c>
      <c r="G11" s="38" t="inlineStr">
        <is>
          <t>Quarterly electricity reliability performance report</t>
        </is>
      </c>
      <c r="H11" s="38" t="inlineStr">
        <is>
          <t>Energy Services and Performance Monitoring</t>
        </is>
      </c>
      <c r="I11" s="37" t="inlineStr">
        <is>
          <t>Normal</t>
        </is>
      </c>
      <c r="J11" s="37" t="inlineStr">
        <is>
          <t>Received</t>
        </is>
      </c>
      <c r="K11" s="38" t="inlineStr">
        <is>
          <t>Dispatched from ES to ESPM. Received by department for technical review.</t>
        </is>
      </c>
    </row>
    <row r="12">
      <c r="A12" s="39" t="n">
        <v>8</v>
      </c>
      <c r="B12" s="40" t="n">
        <v>46150</v>
      </c>
      <c r="C12" s="41" t="inlineStr">
        <is>
          <t>8</t>
        </is>
      </c>
      <c r="D12" s="42" t="inlineStr">
        <is>
          <t>Community Water and Sanitation Agency</t>
        </is>
      </c>
      <c r="E12" s="42" t="inlineStr">
        <is>
          <t>Community Water and Sanitation Agency</t>
        </is>
      </c>
      <c r="F12" s="42" t="inlineStr">
        <is>
          <t>Executive Secretary</t>
        </is>
      </c>
      <c r="G12" s="42" t="inlineStr">
        <is>
          <t>Water service interruption report for Nsawam</t>
        </is>
      </c>
      <c r="H12" s="42" t="inlineStr">
        <is>
          <t>Water Services and Performance Monitoring</t>
        </is>
      </c>
      <c r="I12" s="43" t="inlineStr">
        <is>
          <t>Urgent</t>
        </is>
      </c>
      <c r="J12" s="41" t="inlineStr">
        <is>
          <t>Received</t>
        </is>
      </c>
      <c r="K12" s="42" t="inlineStr">
        <is>
          <t>Dispatched from ES to Water Services and Performance Monitoring for service quality review.</t>
        </is>
      </c>
    </row>
    <row r="13">
      <c r="A13" s="35" t="n">
        <v>9</v>
      </c>
      <c r="B13" s="36" t="n">
        <v>46153</v>
      </c>
      <c r="C13" s="37" t="inlineStr">
        <is>
          <t>9</t>
        </is>
      </c>
      <c r="D13" s="38" t="inlineStr">
        <is>
          <t>Ghana National Gas Company</t>
        </is>
      </c>
      <c r="E13" s="38" t="inlineStr">
        <is>
          <t>Ghana National Gas Company</t>
        </is>
      </c>
      <c r="F13" s="38" t="inlineStr">
        <is>
          <t>Executive Secretary</t>
        </is>
      </c>
      <c r="G13" s="38" t="inlineStr">
        <is>
          <t>Natural gas cost data for tariff computation</t>
        </is>
      </c>
      <c r="H13" s="38" t="inlineStr">
        <is>
          <t>Regulatory Economics</t>
        </is>
      </c>
      <c r="I13" s="37" t="inlineStr">
        <is>
          <t>Normal</t>
        </is>
      </c>
      <c r="J13" s="37" t="inlineStr">
        <is>
          <t>Received</t>
        </is>
      </c>
      <c r="K13" s="38" t="inlineStr">
        <is>
          <t>Dispatched from ES to Regulatory Economics. Received by department for tariff model update.</t>
        </is>
      </c>
    </row>
    <row r="14">
      <c r="A14" s="39" t="n">
        <v>10</v>
      </c>
      <c r="B14" s="40" t="n">
        <v>46157</v>
      </c>
      <c r="C14" s="41" t="inlineStr">
        <is>
          <t>10</t>
        </is>
      </c>
      <c r="D14" s="42" t="inlineStr">
        <is>
          <t>Electricity Company of Ghana</t>
        </is>
      </c>
      <c r="E14" s="42" t="inlineStr">
        <is>
          <t>Electricity Company of Ghana</t>
        </is>
      </c>
      <c r="F14" s="42" t="inlineStr">
        <is>
          <t>Executive Secretary</t>
        </is>
      </c>
      <c r="G14" s="42" t="inlineStr">
        <is>
          <t>Urgent notice on transformer overload at Pokuase</t>
        </is>
      </c>
      <c r="H14" s="42" t="inlineStr">
        <is>
          <t>Energy Services and Performance Monitoring</t>
        </is>
      </c>
      <c r="I14" s="43" t="inlineStr">
        <is>
          <t>Urgent</t>
        </is>
      </c>
      <c r="J14" s="41" t="inlineStr">
        <is>
          <t>Received</t>
        </is>
      </c>
      <c r="K14" s="42" t="inlineStr">
        <is>
          <t>Urgent technical letter dispatched from ES to ESPM for immediate monitoring action.</t>
        </is>
      </c>
    </row>
    <row r="15">
      <c r="A15" s="35" t="n">
        <v>11</v>
      </c>
      <c r="B15" s="36" t="n">
        <v>46161</v>
      </c>
      <c r="C15" s="37" t="inlineStr">
        <is>
          <t>11</t>
        </is>
      </c>
      <c r="D15" s="38" t="inlineStr">
        <is>
          <t>PURC Ashanti Regional Office</t>
        </is>
      </c>
      <c r="E15" s="38" t="inlineStr">
        <is>
          <t>PURC Ashanti Regional Office</t>
        </is>
      </c>
      <c r="F15" s="38" t="inlineStr">
        <is>
          <t>Executive Secretary</t>
        </is>
      </c>
      <c r="G15" s="38" t="inlineStr">
        <is>
          <t>Regional office request for complaint mediation support</t>
        </is>
      </c>
      <c r="H15" s="38" t="inlineStr">
        <is>
          <t>Regional Operations</t>
        </is>
      </c>
      <c r="I15" s="37" t="inlineStr">
        <is>
          <t>Normal</t>
        </is>
      </c>
      <c r="J15" s="37" t="inlineStr">
        <is>
          <t>Received</t>
        </is>
      </c>
      <c r="K15" s="38" t="inlineStr">
        <is>
          <t>Received at ES office. Not yet dispatched to Regional Operations.</t>
        </is>
      </c>
    </row>
    <row r="16">
      <c r="A16" s="39" t="n">
        <v>12</v>
      </c>
      <c r="B16" s="40" t="n">
        <v>46164</v>
      </c>
      <c r="C16" s="41" t="inlineStr">
        <is>
          <t>12</t>
        </is>
      </c>
      <c r="D16" s="42" t="inlineStr">
        <is>
          <t>Public Affairs Unit</t>
        </is>
      </c>
      <c r="E16" s="42" t="inlineStr">
        <is>
          <t>Public Affairs Unit</t>
        </is>
      </c>
      <c r="F16" s="42" t="inlineStr">
        <is>
          <t>Executive Secretary</t>
        </is>
      </c>
      <c r="G16" s="42" t="inlineStr">
        <is>
          <t>Budget request for public education campaign</t>
        </is>
      </c>
      <c r="H16" s="42" t="inlineStr">
        <is>
          <t>Finance and Administration</t>
        </is>
      </c>
      <c r="I16" s="41" t="inlineStr">
        <is>
          <t>Normal</t>
        </is>
      </c>
      <c r="J16" s="41" t="inlineStr">
        <is>
          <t>Received</t>
        </is>
      </c>
      <c r="K16" s="42" t="inlineStr">
        <is>
          <t>Dispatched from ES to Finance and Administration for budget advice.</t>
        </is>
      </c>
    </row>
    <row r="17">
      <c r="A17" s="35" t="n">
        <v>13</v>
      </c>
      <c r="B17" s="36" t="n">
        <v>46168</v>
      </c>
      <c r="C17" s="37" t="inlineStr">
        <is>
          <t>13</t>
        </is>
      </c>
      <c r="D17" s="38" t="inlineStr">
        <is>
          <t>Ministry of Energy</t>
        </is>
      </c>
      <c r="E17" s="38" t="inlineStr">
        <is>
          <t>Ministry of Energy</t>
        </is>
      </c>
      <c r="F17" s="38" t="inlineStr">
        <is>
          <t>Executive Secretary</t>
        </is>
      </c>
      <c r="G17" s="38" t="inlineStr">
        <is>
          <t>Draft memorandum of understanding for utility data sharing</t>
        </is>
      </c>
      <c r="H17" s="38" t="inlineStr">
        <is>
          <t>Legal Services</t>
        </is>
      </c>
      <c r="I17" s="44" t="inlineStr">
        <is>
          <t>Urgent</t>
        </is>
      </c>
      <c r="J17" s="37" t="inlineStr">
        <is>
          <t>Received</t>
        </is>
      </c>
      <c r="K17" s="38" t="inlineStr">
        <is>
          <t>Dispatched from ES to Legal Services for review of draft MOU clauses.</t>
        </is>
      </c>
    </row>
    <row r="18">
      <c r="A18" s="39" t="n">
        <v>14</v>
      </c>
      <c r="B18" s="40" t="n">
        <v>46170</v>
      </c>
      <c r="C18" s="41" t="inlineStr">
        <is>
          <t>14</t>
        </is>
      </c>
      <c r="D18" s="42" t="inlineStr">
        <is>
          <t>Cape Coast Residents Association</t>
        </is>
      </c>
      <c r="E18" s="42" t="inlineStr">
        <is>
          <t>Cape Coast Residents Association</t>
        </is>
      </c>
      <c r="F18" s="42" t="inlineStr">
        <is>
          <t>Executive Secretary</t>
        </is>
      </c>
      <c r="G18" s="42" t="inlineStr">
        <is>
          <t>Urgent complaint on low water pressure in Cape Coast</t>
        </is>
      </c>
      <c r="H18" s="42" t="inlineStr">
        <is>
          <t>Water Services and Performance Monitoring</t>
        </is>
      </c>
      <c r="I18" s="43" t="inlineStr">
        <is>
          <t>Urgent</t>
        </is>
      </c>
      <c r="J18" s="41" t="inlineStr">
        <is>
          <t>Received</t>
        </is>
      </c>
      <c r="K18" s="42" t="inlineStr">
        <is>
          <t>Urgent complaint dispatched from ES to WSPM. Received by department for investigation.</t>
        </is>
      </c>
    </row>
    <row r="19">
      <c r="A19" s="35" t="n">
        <v>15</v>
      </c>
      <c r="B19" s="36" t="n">
        <v>46174</v>
      </c>
      <c r="C19" s="37" t="inlineStr">
        <is>
          <t>15</t>
        </is>
      </c>
      <c r="D19" s="38" t="inlineStr">
        <is>
          <t>Northern Electricity Distribution Company</t>
        </is>
      </c>
      <c r="E19" s="38" t="inlineStr">
        <is>
          <t>Northern Electricity Distribution Company</t>
        </is>
      </c>
      <c r="F19" s="38" t="inlineStr">
        <is>
          <t>Executive Secretary</t>
        </is>
      </c>
      <c r="G19" s="38" t="inlineStr">
        <is>
          <t>Monthly power outage schedule notification</t>
        </is>
      </c>
      <c r="H19" s="38" t="inlineStr">
        <is>
          <t>Energy Services and Performance Monitoring</t>
        </is>
      </c>
      <c r="I19" s="37" t="inlineStr">
        <is>
          <t>Normal</t>
        </is>
      </c>
      <c r="J19" s="37" t="inlineStr">
        <is>
          <t>Received</t>
        </is>
      </c>
      <c r="K19" s="38" t="inlineStr">
        <is>
          <t>Dispatched from ES to ESPM for monitoring and record update.</t>
        </is>
      </c>
    </row>
  </sheetData>
  <autoFilter ref="A4:K19"/>
  <mergeCells count="2">
    <mergeCell ref="A2:K2"/>
    <mergeCell ref="A1:K1"/>
  </mergeCells>
  <dataValidations count="4">
    <dataValidation sqref="H5:H200" showDropDown="0" showInputMessage="0" showErrorMessage="1" allowBlank="1" errorTitle="Invalid entry" error="Please choose a value from the list." type="list">
      <formula1>=Reference!$A$2:$A$8</formula1>
    </dataValidation>
    <dataValidation sqref="I5:I200" showDropDown="0" showInputMessage="0" showErrorMessage="1" allowBlank="1" errorTitle="Invalid entry" error="Please choose a value from the list." type="list">
      <formula1>=Reference!$B$2:$B$3</formula1>
    </dataValidation>
    <dataValidation sqref="J5:J200" showDropDown="0" showInputMessage="0" showErrorMessage="1" allowBlank="1" errorTitle="Invalid entry" error="Please choose a value from the list." type="list">
      <formula1>=Reference!$C$2:$C$3</formula1>
    </dataValidation>
    <dataValidation sqref="D5:D200" showDropDown="0" showInputMessage="0" showErrorMessage="1" allowBlank="1" errorTitle="Invalid entry" error="Please choose a value from the list." type="list">
      <formula1>=Reference!$D$2:$D$15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65BA8"/>
    <outlinePr summaryBelow="1" summaryRight="1"/>
    <pageSetUpPr/>
  </sheetPr>
  <dimension ref="A1:I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30" customWidth="1" min="4" max="4"/>
    <col width="30" customWidth="1" min="5" max="5"/>
    <col width="44" customWidth="1" min="6" max="6"/>
    <col width="11" customWidth="1" min="7" max="7"/>
    <col width="13" customWidth="1" min="8" max="8"/>
    <col width="40" customWidth="1" min="9" max="9"/>
  </cols>
  <sheetData>
    <row r="1" ht="30" customHeight="1">
      <c r="A1" s="32" t="inlineStr">
        <is>
          <t xml:space="preserve">  Dispatched Letter Register</t>
        </is>
      </c>
    </row>
    <row r="2" ht="16" customHeight="1">
      <c r="A2" s="33" t="inlineStr">
        <is>
          <t xml:space="preserve">  Public Utilities Regulatory Commission  ·  Executive Secretariat, Energy Sector</t>
        </is>
      </c>
    </row>
    <row r="4" ht="32" customHeight="1">
      <c r="A4" s="34" t="inlineStr">
        <is>
          <t>Registry No</t>
        </is>
      </c>
      <c r="B4" s="34" t="inlineStr">
        <is>
          <t>Dispatch Date</t>
        </is>
      </c>
      <c r="C4" s="34" t="inlineStr">
        <is>
          <t>Reference No</t>
        </is>
      </c>
      <c r="D4" s="34" t="inlineStr">
        <is>
          <t>Recipient Institution</t>
        </is>
      </c>
      <c r="E4" s="34" t="inlineStr">
        <is>
          <t>Responsible Directorate</t>
        </is>
      </c>
      <c r="F4" s="34" t="inlineStr">
        <is>
          <t>Subject</t>
        </is>
      </c>
      <c r="G4" s="34" t="inlineStr">
        <is>
          <t>Priority</t>
        </is>
      </c>
      <c r="H4" s="34" t="inlineStr">
        <is>
          <t>Status</t>
        </is>
      </c>
      <c r="I4" s="34" t="inlineStr">
        <is>
          <t>Remarks</t>
        </is>
      </c>
    </row>
    <row r="5">
      <c r="A5" s="35" t="n">
        <v>16</v>
      </c>
      <c r="B5" s="36" t="n">
        <v>46117</v>
      </c>
      <c r="C5" s="37" t="inlineStr">
        <is>
          <t>16</t>
        </is>
      </c>
      <c r="D5" s="38" t="inlineStr">
        <is>
          <t>Electricity Company of Ghana</t>
        </is>
      </c>
      <c r="E5" s="38" t="inlineStr">
        <is>
          <t>Energy Services and Performance Monitoring</t>
        </is>
      </c>
      <c r="F5" s="38" t="inlineStr">
        <is>
          <t>Acknowledgement of electricity cost data request</t>
        </is>
      </c>
      <c r="G5" s="37" t="inlineStr">
        <is>
          <t>Normal</t>
        </is>
      </c>
      <c r="H5" s="37" t="inlineStr">
        <is>
          <t>Dispatched</t>
        </is>
      </c>
      <c r="I5" s="38" t="inlineStr">
        <is>
          <t>Dispatched from PURC to Electricity Company of Ghana and logged by ES.</t>
        </is>
      </c>
    </row>
    <row r="6">
      <c r="A6" s="39" t="n">
        <v>17</v>
      </c>
      <c r="B6" s="40" t="n">
        <v>46122</v>
      </c>
      <c r="C6" s="41" t="inlineStr">
        <is>
          <t>17</t>
        </is>
      </c>
      <c r="D6" s="42" t="inlineStr">
        <is>
          <t>Northern Electricity Distribution Company</t>
        </is>
      </c>
      <c r="E6" s="42" t="inlineStr">
        <is>
          <t>Regulatory Economics</t>
        </is>
      </c>
      <c r="F6" s="42" t="inlineStr">
        <is>
          <t>Draft response on tariff adjustment clarification</t>
        </is>
      </c>
      <c r="G6" s="43" t="inlineStr">
        <is>
          <t>Urgent</t>
        </is>
      </c>
      <c r="H6" s="41" t="inlineStr">
        <is>
          <t>Dispatched</t>
        </is>
      </c>
      <c r="I6" s="42" t="inlineStr">
        <is>
          <t>Ready for ES signature before external dispatch to NEDCo.</t>
        </is>
      </c>
    </row>
    <row r="7">
      <c r="A7" s="35" t="n">
        <v>18</v>
      </c>
      <c r="B7" s="36" t="n">
        <v>46127</v>
      </c>
      <c r="C7" s="37" t="inlineStr">
        <is>
          <t>18</t>
        </is>
      </c>
      <c r="D7" s="38" t="inlineStr">
        <is>
          <t>Ghana Water Company Limited</t>
        </is>
      </c>
      <c r="E7" s="38" t="inlineStr">
        <is>
          <t>Water Services and Performance Monitoring</t>
        </is>
      </c>
      <c r="F7" s="38" t="inlineStr">
        <is>
          <t>Request for corrected water quality dataset</t>
        </is>
      </c>
      <c r="G7" s="37" t="inlineStr">
        <is>
          <t>Normal</t>
        </is>
      </c>
      <c r="H7" s="37" t="inlineStr">
        <is>
          <t>Dispatched</t>
        </is>
      </c>
      <c r="I7" s="38" t="inlineStr">
        <is>
          <t>Dispatched from PURC to Ghana Water Company Limited for corrected returns.</t>
        </is>
      </c>
    </row>
    <row r="8">
      <c r="A8" s="39" t="n">
        <v>19</v>
      </c>
      <c r="B8" s="40" t="n">
        <v>46132</v>
      </c>
      <c r="C8" s="41" t="inlineStr">
        <is>
          <t>19</t>
        </is>
      </c>
      <c r="D8" s="42" t="inlineStr">
        <is>
          <t>PURC Northern Regional Office</t>
        </is>
      </c>
      <c r="E8" s="42" t="inlineStr">
        <is>
          <t>Regional Operations</t>
        </is>
      </c>
      <c r="F8" s="42" t="inlineStr">
        <is>
          <t>Directive on estimated billing complaint investigation</t>
        </is>
      </c>
      <c r="G8" s="43" t="inlineStr">
        <is>
          <t>Urgent</t>
        </is>
      </c>
      <c r="H8" s="41" t="inlineStr">
        <is>
          <t>Dispatched</t>
        </is>
      </c>
      <c r="I8" s="42" t="inlineStr">
        <is>
          <t>Urgent outgoing letter dispatched from PURC to the Northern Regional Office.</t>
        </is>
      </c>
    </row>
    <row r="9">
      <c r="A9" s="35" t="n">
        <v>20</v>
      </c>
      <c r="B9" s="36" t="n">
        <v>46137</v>
      </c>
      <c r="C9" s="37" t="inlineStr">
        <is>
          <t>20</t>
        </is>
      </c>
      <c r="D9" s="38" t="inlineStr">
        <is>
          <t>Association of Independent Power Producers</t>
        </is>
      </c>
      <c r="E9" s="38" t="inlineStr">
        <is>
          <t>Legal Services</t>
        </is>
      </c>
      <c r="F9" s="38" t="inlineStr">
        <is>
          <t>Legal review request for licence condition</t>
        </is>
      </c>
      <c r="G9" s="37" t="inlineStr">
        <is>
          <t>Normal</t>
        </is>
      </c>
      <c r="H9" s="37" t="inlineStr">
        <is>
          <t>Dispatched</t>
        </is>
      </c>
      <c r="I9" s="38" t="inlineStr">
        <is>
          <t>Ready for ES signature before dispatch to the Association of Independent Power Producers.</t>
        </is>
      </c>
    </row>
    <row r="10">
      <c r="A10" s="39" t="n">
        <v>21</v>
      </c>
      <c r="B10" s="40" t="n">
        <v>46142</v>
      </c>
      <c r="C10" s="41" t="inlineStr">
        <is>
          <t>21</t>
        </is>
      </c>
      <c r="D10" s="42" t="inlineStr">
        <is>
          <t>BlueGate Conference Services</t>
        </is>
      </c>
      <c r="E10" s="42" t="inlineStr">
        <is>
          <t>Finance and Administration</t>
        </is>
      </c>
      <c r="F10" s="42" t="inlineStr">
        <is>
          <t>Payment processing acknowledgement</t>
        </is>
      </c>
      <c r="G10" s="41" t="inlineStr">
        <is>
          <t>Normal</t>
        </is>
      </c>
      <c r="H10" s="41" t="inlineStr">
        <is>
          <t>Dispatched</t>
        </is>
      </c>
      <c r="I10" s="42" t="inlineStr">
        <is>
          <t>Dispatched from PURC to vendor after Finance and Administration verification.</t>
        </is>
      </c>
    </row>
    <row r="11">
      <c r="A11" s="35" t="n">
        <v>22</v>
      </c>
      <c r="B11" s="36" t="n">
        <v>46145</v>
      </c>
      <c r="C11" s="37" t="inlineStr">
        <is>
          <t>22</t>
        </is>
      </c>
      <c r="D11" s="38" t="inlineStr">
        <is>
          <t>Ghana Grid Company Limited</t>
        </is>
      </c>
      <c r="E11" s="38" t="inlineStr">
        <is>
          <t>Energy Services and Performance Monitoring</t>
        </is>
      </c>
      <c r="F11" s="38" t="inlineStr">
        <is>
          <t>Request for grid reliability supporting data</t>
        </is>
      </c>
      <c r="G11" s="37" t="inlineStr">
        <is>
          <t>Normal</t>
        </is>
      </c>
      <c r="H11" s="37" t="inlineStr">
        <is>
          <t>Dispatched</t>
        </is>
      </c>
      <c r="I11" s="38" t="inlineStr">
        <is>
          <t>Dispatched from PURC to Ghana Grid Company Limited for reliability data confirmation.</t>
        </is>
      </c>
    </row>
    <row r="12">
      <c r="A12" s="39" t="n">
        <v>23</v>
      </c>
      <c r="B12" s="40" t="n">
        <v>46151</v>
      </c>
      <c r="C12" s="41" t="inlineStr">
        <is>
          <t>23</t>
        </is>
      </c>
      <c r="D12" s="42" t="inlineStr">
        <is>
          <t>Community Water and Sanitation Agency</t>
        </is>
      </c>
      <c r="E12" s="42" t="inlineStr">
        <is>
          <t>Water Services and Performance Monitoring</t>
        </is>
      </c>
      <c r="F12" s="42" t="inlineStr">
        <is>
          <t>Draft response on Nsawam water service interruption</t>
        </is>
      </c>
      <c r="G12" s="43" t="inlineStr">
        <is>
          <t>Urgent</t>
        </is>
      </c>
      <c r="H12" s="41" t="inlineStr">
        <is>
          <t>Dispatched</t>
        </is>
      </c>
      <c r="I12" s="42" t="inlineStr">
        <is>
          <t>Ready for ES signature before dispatch to Community Water and Sanitation Agency.</t>
        </is>
      </c>
    </row>
    <row r="13">
      <c r="A13" s="35" t="n">
        <v>24</v>
      </c>
      <c r="B13" s="36" t="n">
        <v>46155</v>
      </c>
      <c r="C13" s="37" t="inlineStr">
        <is>
          <t>24</t>
        </is>
      </c>
      <c r="D13" s="38" t="inlineStr">
        <is>
          <t>Ghana National Gas Company</t>
        </is>
      </c>
      <c r="E13" s="38" t="inlineStr">
        <is>
          <t>Regulatory Economics</t>
        </is>
      </c>
      <c r="F13" s="38" t="inlineStr">
        <is>
          <t>Acknowledgement of natural gas tariff data</t>
        </is>
      </c>
      <c r="G13" s="37" t="inlineStr">
        <is>
          <t>Normal</t>
        </is>
      </c>
      <c r="H13" s="37" t="inlineStr">
        <is>
          <t>Dispatched</t>
        </is>
      </c>
      <c r="I13" s="38" t="inlineStr">
        <is>
          <t>Dispatched from PURC to Ghana National Gas Company after Regulatory Economics review.</t>
        </is>
      </c>
    </row>
    <row r="14">
      <c r="A14" s="39" t="n">
        <v>25</v>
      </c>
      <c r="B14" s="40" t="n">
        <v>46158</v>
      </c>
      <c r="C14" s="41" t="inlineStr">
        <is>
          <t>25</t>
        </is>
      </c>
      <c r="D14" s="42" t="inlineStr">
        <is>
          <t>Electricity Company of Ghana</t>
        </is>
      </c>
      <c r="E14" s="42" t="inlineStr">
        <is>
          <t>Energy Services and Performance Monitoring</t>
        </is>
      </c>
      <c r="F14" s="42" t="inlineStr">
        <is>
          <t>Emergency monitoring request on Pokuase transformer overload</t>
        </is>
      </c>
      <c r="G14" s="43" t="inlineStr">
        <is>
          <t>Urgent</t>
        </is>
      </c>
      <c r="H14" s="41" t="inlineStr">
        <is>
          <t>Dispatched</t>
        </is>
      </c>
      <c r="I14" s="42" t="inlineStr">
        <is>
          <t>Urgent outgoing letter dispatched from PURC to ECG for immediate technical update.</t>
        </is>
      </c>
    </row>
    <row r="15">
      <c r="A15" s="35" t="n">
        <v>26</v>
      </c>
      <c r="B15" s="36" t="n">
        <v>46162</v>
      </c>
      <c r="C15" s="37" t="inlineStr">
        <is>
          <t>26</t>
        </is>
      </c>
      <c r="D15" s="38" t="inlineStr">
        <is>
          <t>PURC Ashanti Regional Office</t>
        </is>
      </c>
      <c r="E15" s="38" t="inlineStr">
        <is>
          <t>Regional Operations</t>
        </is>
      </c>
      <c r="F15" s="38" t="inlineStr">
        <is>
          <t>Mediation support letter for Ashanti regional complaint</t>
        </is>
      </c>
      <c r="G15" s="37" t="inlineStr">
        <is>
          <t>Normal</t>
        </is>
      </c>
      <c r="H15" s="37" t="inlineStr">
        <is>
          <t>Dispatched</t>
        </is>
      </c>
      <c r="I15" s="38" t="inlineStr">
        <is>
          <t>Ready for ES signature before dispatch to PURC Ashanti Regional Office.</t>
        </is>
      </c>
    </row>
    <row r="16">
      <c r="A16" s="39" t="n">
        <v>27</v>
      </c>
      <c r="B16" s="40" t="n">
        <v>46166</v>
      </c>
      <c r="C16" s="41" t="inlineStr">
        <is>
          <t>27</t>
        </is>
      </c>
      <c r="D16" s="42" t="inlineStr">
        <is>
          <t>Public Affairs Unit</t>
        </is>
      </c>
      <c r="E16" s="42" t="inlineStr">
        <is>
          <t>Finance and Administration</t>
        </is>
      </c>
      <c r="F16" s="42" t="inlineStr">
        <is>
          <t>Budget concurrence for public education campaign</t>
        </is>
      </c>
      <c r="G16" s="41" t="inlineStr">
        <is>
          <t>Normal</t>
        </is>
      </c>
      <c r="H16" s="41" t="inlineStr">
        <is>
          <t>Dispatched</t>
        </is>
      </c>
      <c r="I16" s="42" t="inlineStr">
        <is>
          <t>Dispatched from PURC to Public Affairs Unit after Finance and Administration advice.</t>
        </is>
      </c>
    </row>
    <row r="17">
      <c r="A17" s="35" t="n">
        <v>28</v>
      </c>
      <c r="B17" s="36" t="n">
        <v>46169</v>
      </c>
      <c r="C17" s="37" t="inlineStr">
        <is>
          <t>28</t>
        </is>
      </c>
      <c r="D17" s="38" t="inlineStr">
        <is>
          <t>Ministry of Energy</t>
        </is>
      </c>
      <c r="E17" s="38" t="inlineStr">
        <is>
          <t>Legal Services</t>
        </is>
      </c>
      <c r="F17" s="38" t="inlineStr">
        <is>
          <t>Legal comments on utility data sharing MOU</t>
        </is>
      </c>
      <c r="G17" s="44" t="inlineStr">
        <is>
          <t>Urgent</t>
        </is>
      </c>
      <c r="H17" s="37" t="inlineStr">
        <is>
          <t>Dispatched</t>
        </is>
      </c>
      <c r="I17" s="38" t="inlineStr">
        <is>
          <t>Dispatched from PURC to Ministry of Energy after Legal Services review.</t>
        </is>
      </c>
    </row>
    <row r="18">
      <c r="A18" s="39" t="n">
        <v>29</v>
      </c>
      <c r="B18" s="40" t="n">
        <v>46172</v>
      </c>
      <c r="C18" s="41" t="inlineStr">
        <is>
          <t>29</t>
        </is>
      </c>
      <c r="D18" s="42" t="inlineStr">
        <is>
          <t>Ghana Water Company Limited</t>
        </is>
      </c>
      <c r="E18" s="42" t="inlineStr">
        <is>
          <t>Water Services and Performance Monitoring</t>
        </is>
      </c>
      <c r="F18" s="42" t="inlineStr">
        <is>
          <t>Directive on Cape Coast low water pressure complaint</t>
        </is>
      </c>
      <c r="G18" s="43" t="inlineStr">
        <is>
          <t>Urgent</t>
        </is>
      </c>
      <c r="H18" s="41" t="inlineStr">
        <is>
          <t>Dispatched</t>
        </is>
      </c>
      <c r="I18" s="42" t="inlineStr">
        <is>
          <t>Urgent outgoing letter dispatched from PURC to Ghana Water Company Limited.</t>
        </is>
      </c>
    </row>
    <row r="19">
      <c r="A19" s="35" t="n">
        <v>30</v>
      </c>
      <c r="B19" s="36" t="n">
        <v>46174</v>
      </c>
      <c r="C19" s="37" t="inlineStr">
        <is>
          <t>30</t>
        </is>
      </c>
      <c r="D19" s="38" t="inlineStr">
        <is>
          <t>Northern Electricity Distribution Company</t>
        </is>
      </c>
      <c r="E19" s="38" t="inlineStr">
        <is>
          <t>Energy Services and Performance Monitoring</t>
        </is>
      </c>
      <c r="F19" s="38" t="inlineStr">
        <is>
          <t>Acknowledgement of NEDCo power outage schedule</t>
        </is>
      </c>
      <c r="G19" s="37" t="inlineStr">
        <is>
          <t>Normal</t>
        </is>
      </c>
      <c r="H19" s="37" t="inlineStr">
        <is>
          <t>Dispatched</t>
        </is>
      </c>
      <c r="I19" s="38" t="inlineStr">
        <is>
          <t>Ready for ES signature before dispatch to NEDCo.</t>
        </is>
      </c>
    </row>
  </sheetData>
  <autoFilter ref="A4:I19"/>
  <mergeCells count="2">
    <mergeCell ref="A1:I1"/>
    <mergeCell ref="A2:I2"/>
  </mergeCells>
  <dataValidations count="4">
    <dataValidation sqref="E5:E200" showDropDown="0" showInputMessage="0" showErrorMessage="1" allowBlank="1" errorTitle="Invalid entry" error="Please choose a value from the list." type="list">
      <formula1>=Reference!$A$2:$A$8</formula1>
    </dataValidation>
    <dataValidation sqref="G5:G200" showDropDown="0" showInputMessage="0" showErrorMessage="1" allowBlank="1" errorTitle="Invalid entry" error="Please choose a value from the list." type="list">
      <formula1>=Reference!$B$2:$B$3</formula1>
    </dataValidation>
    <dataValidation sqref="H5:H200" showDropDown="0" showInputMessage="0" showErrorMessage="1" allowBlank="1" errorTitle="Invalid entry" error="Please choose a value from the list." type="list">
      <formula1>=Reference!$C$2:$C$3</formula1>
    </dataValidation>
    <dataValidation sqref="D5:D200" showDropDown="0" showInputMessage="0" showErrorMessage="1" allowBlank="1" errorTitle="Invalid entry" error="Please choose a value from the list." type="list">
      <formula1>=Reference!$D$2:$D$15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38E9A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3" customWidth="1" min="3" max="3"/>
    <col width="10" customWidth="1" min="4" max="4"/>
    <col width="3" customWidth="1" min="5" max="5"/>
    <col width="3" customWidth="1" min="6" max="6"/>
    <col width="3" customWidth="1" min="7" max="7"/>
    <col width="3" customWidth="1" min="8" max="8"/>
  </cols>
  <sheetData>
    <row r="1" ht="28" customHeight="1">
      <c r="A1" s="32" t="inlineStr">
        <is>
          <t xml:space="preserve">  Analytics</t>
        </is>
      </c>
    </row>
    <row r="3">
      <c r="A3" s="25" t="inlineStr">
        <is>
          <t>Letters by Month</t>
        </is>
      </c>
    </row>
    <row r="4">
      <c r="A4" s="45" t="inlineStr">
        <is>
          <t>Month</t>
        </is>
      </c>
      <c r="B4" s="45" t="inlineStr">
        <is>
          <t>Received</t>
        </is>
      </c>
      <c r="C4" s="45" t="inlineStr">
        <is>
          <t>Dispatched</t>
        </is>
      </c>
    </row>
    <row r="5">
      <c r="A5" s="46" t="inlineStr">
        <is>
          <t>Apr 2026</t>
        </is>
      </c>
      <c r="B5" s="47">
        <f>COUNTIFS('Received Register'!$B$5:$B$200,"&gt;="&amp;DATE(2026,4,1),'Received Register'!$B$5:$B$200,"&lt;="&amp;DATE(2026,4,30))</f>
        <v/>
      </c>
      <c r="C5" s="47">
        <f>COUNTIFS('Dispatched Register'!$B$5:$B$200,"&gt;="&amp;DATE(2026,4,1),'Dispatched Register'!$B$5:$B$200,"&lt;="&amp;DATE(2026,4,30))</f>
        <v/>
      </c>
    </row>
    <row r="6">
      <c r="A6" s="46" t="inlineStr">
        <is>
          <t>May 2026</t>
        </is>
      </c>
      <c r="B6" s="47">
        <f>COUNTIFS('Received Register'!$B$5:$B$200,"&gt;="&amp;DATE(2026,5,1),'Received Register'!$B$5:$B$200,"&lt;="&amp;DATE(2026,5,31))</f>
        <v/>
      </c>
      <c r="C6" s="47">
        <f>COUNTIFS('Dispatched Register'!$B$5:$B$200,"&gt;="&amp;DATE(2026,5,1),'Dispatched Register'!$B$5:$B$200,"&lt;="&amp;DATE(2026,5,31))</f>
        <v/>
      </c>
    </row>
    <row r="7">
      <c r="A7" s="46" t="inlineStr">
        <is>
          <t>Jun 2026</t>
        </is>
      </c>
      <c r="B7" s="47">
        <f>COUNTIFS('Received Register'!$B$5:$B$200,"&gt;="&amp;DATE(2026,6,1),'Received Register'!$B$5:$B$200,"&lt;="&amp;DATE(2026,6,30))</f>
        <v/>
      </c>
      <c r="C7" s="47">
        <f>COUNTIFS('Dispatched Register'!$B$5:$B$200,"&gt;="&amp;DATE(2026,6,1),'Dispatched Register'!$B$5:$B$200,"&lt;="&amp;DATE(2026,6,30))</f>
        <v/>
      </c>
    </row>
    <row r="9">
      <c r="A9" s="25" t="inlineStr">
        <is>
          <t>Directorate Workload</t>
        </is>
      </c>
    </row>
    <row r="10">
      <c r="A10" s="45" t="inlineStr">
        <is>
          <t>Directorate</t>
        </is>
      </c>
      <c r="B10" s="45" t="inlineStr">
        <is>
          <t>Received</t>
        </is>
      </c>
      <c r="C10" s="45" t="inlineStr">
        <is>
          <t>Dispatched</t>
        </is>
      </c>
      <c r="D10" s="45" t="inlineStr">
        <is>
          <t>Total</t>
        </is>
      </c>
    </row>
    <row r="11">
      <c r="A11" s="46" t="inlineStr">
        <is>
          <t>Executive Secretary</t>
        </is>
      </c>
      <c r="B11" s="47">
        <f>COUNTIF('Received Register'!$H$5:$H$200,A11)</f>
        <v/>
      </c>
      <c r="C11" s="47">
        <f>COUNTIF('Dispatched Register'!$E$5:$E$200,A11)</f>
        <v/>
      </c>
      <c r="D11" s="47">
        <f>B11+C11</f>
        <v/>
      </c>
    </row>
    <row r="12">
      <c r="A12" s="46" t="inlineStr">
        <is>
          <t>Regulatory Economics</t>
        </is>
      </c>
      <c r="B12" s="47">
        <f>COUNTIF('Received Register'!$H$5:$H$200,A12)</f>
        <v/>
      </c>
      <c r="C12" s="47">
        <f>COUNTIF('Dispatched Register'!$E$5:$E$200,A12)</f>
        <v/>
      </c>
      <c r="D12" s="47">
        <f>B12+C12</f>
        <v/>
      </c>
    </row>
    <row r="13">
      <c r="A13" s="46" t="inlineStr">
        <is>
          <t>Energy Services and Performance Monitoring</t>
        </is>
      </c>
      <c r="B13" s="47">
        <f>COUNTIF('Received Register'!$H$5:$H$200,A13)</f>
        <v/>
      </c>
      <c r="C13" s="47">
        <f>COUNTIF('Dispatched Register'!$E$5:$E$200,A13)</f>
        <v/>
      </c>
      <c r="D13" s="47">
        <f>B13+C13</f>
        <v/>
      </c>
    </row>
    <row r="14">
      <c r="A14" s="46" t="inlineStr">
        <is>
          <t>Water Services and Performance Monitoring</t>
        </is>
      </c>
      <c r="B14" s="47">
        <f>COUNTIF('Received Register'!$H$5:$H$200,A14)</f>
        <v/>
      </c>
      <c r="C14" s="47">
        <f>COUNTIF('Dispatched Register'!$E$5:$E$200,A14)</f>
        <v/>
      </c>
      <c r="D14" s="47">
        <f>B14+C14</f>
        <v/>
      </c>
    </row>
    <row r="15">
      <c r="A15" s="46" t="inlineStr">
        <is>
          <t>Regional Operations</t>
        </is>
      </c>
      <c r="B15" s="47">
        <f>COUNTIF('Received Register'!$H$5:$H$200,A15)</f>
        <v/>
      </c>
      <c r="C15" s="47">
        <f>COUNTIF('Dispatched Register'!$E$5:$E$200,A15)</f>
        <v/>
      </c>
      <c r="D15" s="47">
        <f>B15+C15</f>
        <v/>
      </c>
    </row>
    <row r="16">
      <c r="A16" s="46" t="inlineStr">
        <is>
          <t>Legal Services</t>
        </is>
      </c>
      <c r="B16" s="47">
        <f>COUNTIF('Received Register'!$H$5:$H$200,A16)</f>
        <v/>
      </c>
      <c r="C16" s="47">
        <f>COUNTIF('Dispatched Register'!$E$5:$E$200,A16)</f>
        <v/>
      </c>
      <c r="D16" s="47">
        <f>B16+C16</f>
        <v/>
      </c>
    </row>
    <row r="17">
      <c r="A17" s="46" t="inlineStr">
        <is>
          <t>Finance and Administration</t>
        </is>
      </c>
      <c r="B17" s="47">
        <f>COUNTIF('Received Register'!$H$5:$H$200,A17)</f>
        <v/>
      </c>
      <c r="C17" s="47">
        <f>COUNTIF('Dispatched Register'!$E$5:$E$200,A17)</f>
        <v/>
      </c>
      <c r="D17" s="47">
        <f>B17+C17</f>
        <v/>
      </c>
    </row>
    <row r="19">
      <c r="A19" s="25" t="inlineStr">
        <is>
          <t>Priority Split</t>
        </is>
      </c>
    </row>
    <row r="20">
      <c r="A20" s="45" t="inlineStr">
        <is>
          <t>Priority</t>
        </is>
      </c>
      <c r="B20" s="45" t="inlineStr">
        <is>
          <t>Count</t>
        </is>
      </c>
    </row>
    <row r="21">
      <c r="A21" s="46" t="inlineStr">
        <is>
          <t>Normal</t>
        </is>
      </c>
      <c r="B21" s="47">
        <f>COUNTIF('Received Register'!$I$5:$I$200,"Normal")+COUNTIF('Dispatched Register'!$G$5:$G$200,"Normal")</f>
        <v/>
      </c>
    </row>
    <row r="22">
      <c r="A22" s="48" t="inlineStr">
        <is>
          <t>Urgent</t>
        </is>
      </c>
      <c r="B22" s="47">
        <f>COUNTIF('Received Register'!$I$5:$I$200,"Urgent")+COUNTIF('Dispatched Register'!$G$5:$G$200,"Urgent")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42" customWidth="1" min="4" max="4"/>
  </cols>
  <sheetData>
    <row r="1">
      <c r="A1" s="49" t="inlineStr">
        <is>
          <t>Directorates</t>
        </is>
      </c>
      <c r="B1" s="49" t="inlineStr">
        <is>
          <t>Priorities</t>
        </is>
      </c>
      <c r="C1" s="49" t="inlineStr">
        <is>
          <t>Statuses</t>
        </is>
      </c>
      <c r="D1" s="49" t="inlineStr">
        <is>
          <t>Institutions</t>
        </is>
      </c>
    </row>
    <row r="2">
      <c r="A2" s="46" t="inlineStr">
        <is>
          <t>Executive Secretary</t>
        </is>
      </c>
      <c r="B2" s="46" t="inlineStr">
        <is>
          <t>Normal</t>
        </is>
      </c>
      <c r="C2" s="46" t="inlineStr">
        <is>
          <t>Received</t>
        </is>
      </c>
      <c r="D2" s="46" t="inlineStr">
        <is>
          <t>Association of Independent Power Producers</t>
        </is>
      </c>
    </row>
    <row r="3">
      <c r="A3" s="46" t="inlineStr">
        <is>
          <t>Regulatory Economics</t>
        </is>
      </c>
      <c r="B3" s="46" t="inlineStr">
        <is>
          <t>Urgent</t>
        </is>
      </c>
      <c r="C3" s="46" t="inlineStr">
        <is>
          <t>Dispatched</t>
        </is>
      </c>
      <c r="D3" s="46" t="inlineStr">
        <is>
          <t>BlueGate Conference Services</t>
        </is>
      </c>
    </row>
    <row r="4">
      <c r="A4" s="46" t="inlineStr">
        <is>
          <t>Energy Services and Performance Monitoring</t>
        </is>
      </c>
      <c r="D4" s="46" t="inlineStr">
        <is>
          <t>Cape Coast Residents Association</t>
        </is>
      </c>
    </row>
    <row r="5">
      <c r="A5" s="46" t="inlineStr">
        <is>
          <t>Water Services and Performance Monitoring</t>
        </is>
      </c>
      <c r="D5" s="46" t="inlineStr">
        <is>
          <t>Community Water and Sanitation Agency</t>
        </is>
      </c>
    </row>
    <row r="6">
      <c r="A6" s="46" t="inlineStr">
        <is>
          <t>Regional Operations</t>
        </is>
      </c>
      <c r="D6" s="46" t="inlineStr">
        <is>
          <t>Electricity Company of Ghana</t>
        </is>
      </c>
    </row>
    <row r="7">
      <c r="A7" s="46" t="inlineStr">
        <is>
          <t>Legal Services</t>
        </is>
      </c>
      <c r="D7" s="46" t="inlineStr">
        <is>
          <t>Ghana Grid Company Limited</t>
        </is>
      </c>
    </row>
    <row r="8">
      <c r="A8" s="46" t="inlineStr">
        <is>
          <t>Finance and Administration</t>
        </is>
      </c>
      <c r="D8" s="46" t="inlineStr">
        <is>
          <t>Ghana National Gas Company</t>
        </is>
      </c>
    </row>
    <row r="9">
      <c r="D9" s="46" t="inlineStr">
        <is>
          <t>Ghana Water Company Limited</t>
        </is>
      </c>
    </row>
    <row r="10">
      <c r="D10" s="46" t="inlineStr">
        <is>
          <t>Ministry of Energy</t>
        </is>
      </c>
    </row>
    <row r="11">
      <c r="D11" s="46" t="inlineStr">
        <is>
          <t>Northern Electricity Distribution Company</t>
        </is>
      </c>
    </row>
    <row r="12">
      <c r="D12" s="46" t="inlineStr">
        <is>
          <t>Northern Region Consumer Group</t>
        </is>
      </c>
    </row>
    <row r="13">
      <c r="D13" s="46" t="inlineStr">
        <is>
          <t>PURC Ashanti Regional Office</t>
        </is>
      </c>
    </row>
    <row r="14">
      <c r="D14" s="46" t="inlineStr">
        <is>
          <t>PURC Northern Regional Office</t>
        </is>
      </c>
    </row>
    <row r="15">
      <c r="D15" s="46" t="inlineStr">
        <is>
          <t>Public Affairs Unit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PURC Executive Secretariat</dc:creator>
  <dc:title xmlns:dc="http://purl.org/dc/elements/1.1/">PURC Letter &amp; Document Tracking System</dc:title>
  <dcterms:created xmlns:dcterms="http://purl.org/dc/terms/" xmlns:xsi="http://www.w3.org/2001/XMLSchema-instance" xsi:type="dcterms:W3CDTF">2026-07-10T10:19:53Z</dcterms:created>
  <dcterms:modified xmlns:dcterms="http://purl.org/dc/terms/" xmlns:xsi="http://www.w3.org/2001/XMLSchema-instance" xsi:type="dcterms:W3CDTF">2026-07-10T10:19:53Z</dcterms:modified>
</cp:coreProperties>
</file>